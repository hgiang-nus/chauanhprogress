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4"/>
    <sheet state="visible" name="Class Log" sheetId="2" r:id="rId5"/>
    <sheet state="visible" name="Payment Summary" sheetId="3" r:id="rId6"/>
  </sheets>
  <definedNames/>
  <calcPr/>
  <extLst>
    <ext uri="GoogleSheetsCustomDataVersion2">
      <go:sheetsCustomData xmlns:go="http://customooxmlschemas.google.com/" r:id="rId7" roundtripDataChecksum="tqV/g1qlx/Dp3uWv9EVH8aNNzeAZoqTUmID88DhNcRI="/>
    </ext>
  </extLst>
</workbook>
</file>

<file path=xl/sharedStrings.xml><?xml version="1.0" encoding="utf-8"?>
<sst xmlns="http://schemas.openxmlformats.org/spreadsheetml/2006/main" count="261" uniqueCount="114">
  <si>
    <t>Tutor class &amp; payment tracker</t>
  </si>
  <si>
    <t>1. PAYMENT SUMMARY — type each tutor's name once in the yellow Tutor column. Set the payment period start and end (yellow cells). The sheet counts each tutor's completed classes in the period. Mark Paid? = Yes once you process the payment.</t>
  </si>
  <si>
    <t>2. CLASS LOG — log every class: date, time (e.g., 18:00 - 19:30), tutor (dropdown, fed from the Payment Summary tutor list), student or class name, lesson content, recording link, status, and feedback. Row numbers compute automatically.</t>
  </si>
  <si>
    <t>3. Mark a class "Completed" only after you have verified the recording — only Completed classes are counted for payment.</t>
  </si>
  <si>
    <t>Color legend: blue text = cells you type into · black = automatic formulas, do not edit · yellow fill = key inputs.</t>
  </si>
  <si>
    <t>The first Class Log row (Nguyen Van A) is an example of the expected format — replace it with real data.</t>
  </si>
  <si>
    <t>No.</t>
  </si>
  <si>
    <t>Date</t>
  </si>
  <si>
    <t>Number of hours</t>
  </si>
  <si>
    <t>Time</t>
  </si>
  <si>
    <t>Tutor</t>
  </si>
  <si>
    <t>Student / Class</t>
  </si>
  <si>
    <t>Lesson content</t>
  </si>
  <si>
    <t>Recording link</t>
  </si>
  <si>
    <t>Payment</t>
  </si>
  <si>
    <t>Status</t>
  </si>
  <si>
    <t>Feedback</t>
  </si>
  <si>
    <t>Check thanh toán (Giang)</t>
  </si>
  <si>
    <t>19:00 - 20:30</t>
  </si>
  <si>
    <t>Duy</t>
  </si>
  <si>
    <t>Economics IGCSE</t>
  </si>
  <si>
    <t>Syllabus + Exam illustration and Entrance Quiz</t>
  </si>
  <si>
    <t>Yes</t>
  </si>
  <si>
    <t>Completed</t>
  </si>
  <si>
    <t>@Chi Vũ dạ Cô ơi, tuần này con đã dạy cho bé Châu Anh được 3 buổi, bao gồm:
- Buổi 1: giới thiệu về kì thi ICGSE và test kiến thức đầu vào của bé.
- Buổi 2: bé được hướng dẫn nhập môn kinh tế học, tại sao học kinh tế, kinh tế học giải quyết vấn đề gì và phân biệt các loại hàng hoá trong kinh tế học ạ. 
- Buổi 3: bé được học về factors of production, nhận diện từng factor trong kinh tế học và làm quen với đọc biểu đồ đơn giản ạ.
Tổng kết lại thì bé có nền tảng tốt để học Economics nhờ background đã học Business trước đây nên một số thứ bé đã quen. Tuy nhiên, cách trả lời câu hỏi của bé cần phải định hướng tốt hơn để được tối đa điểm trong phòng thi do bé thường trả lời chưa đầy đủ do hay bỏ qua những từ khoá chính trong câu hỏi ạ.
Tuần sau bé sẽ tạm nghỉ do phải tham gia bootcamp của VinUni, ngày 20/7 bọn con sẽ bắt đầu lại ạ. Chúc Cô và em cuối tuần thật nhiều niềm vui ạ. @Eggtree nhớ xem lại bài nhé em</t>
  </si>
  <si>
    <t>Introduction to Economics + Nature of Economics Problem</t>
  </si>
  <si>
    <t>Factors of Production</t>
  </si>
  <si>
    <t>10:00 - 11:30</t>
  </si>
  <si>
    <t>Opportunity Cost</t>
  </si>
  <si>
    <t>@Chi Vũ Dạ Cô ơi con xin phép tổng kết tình hình học của bé Châu Anh tuần này ạ
Buổi 1 (20/7): bé được học về opportunity cost, làm quen với các dạng bài toán về opportunity cost. Phần này đi con dạy kĩ vì đề thi xuất hiện khá nhiều, khoảng 2-4 câu mỗi năm ạ.
Buổi 2 (22/7): bé được học về production possibility curve, bé đã học cách đọc số liệu từ đồ thị và visualize trade off bằng đồ thị. Đây cũng là một phần rất quan trọng trong đề thi, đặc biệt là phần tự luận nên con cũng đã dạy khá kỹ.
Buổi 3 (24/7): bé được review lại toàn bộ section 1 (nature of economics) và chơi Quizziz để tổng kết kiến thức.
@Eggtree ơi, weekly quiz của em tuần này anh để trong link này nhé, em dành tầm 15p để làm cho nhớ bài nha. Câu 1 thì em cố gắng vẽ hình rồi chụp up lên nhé, đi thi cũng sẽ yêu cầu em vẽ hình như vậy á: https://docs.google.com/forms/d/1GuUq1rzz9-912IvytbUEC35dPDOmfZHyb0ZbznpPEX8/edit
Con chúc Cô và bé một cuối tuần vui vẻ ạ!</t>
  </si>
  <si>
    <t>Quiz</t>
  </si>
  <si>
    <t>Production Possibility Curves + Exam preparation</t>
  </si>
  <si>
    <t xml:space="preserve">Review session 1 </t>
  </si>
  <si>
    <t>How Market Works + mid-course evaluation</t>
  </si>
  <si>
    <t>@Chi Vũ Dạ Cô ơi con xin phép tổng kết tình hình học của bé Châu Anh tuần này ạ
Buổi 1 (27/7): bé bắt đầu học section 2, giới thiệu về cách thị trường vận hành và làm form đánh giá cách dạy + tài liệu học giữa kì để con cải thiện phương pháp dạy và cách tiếp cận.
Buổi 2 (29/7): bé được học về demand side, những nhân tố tác động đến demand và vẽ graph.
Buổi 3 (30/7): bé được về về supply side và equilibrium market, cũng như đọc số liệu, vẽ graph đối với dạng bài có surplus và shortage. Đây là phần trọng tâm của chương này khi đi thi ạ.
@Eggtree ơi, weekly quiz tuần này ở trong link này nha em: https://forms.gle/BdeX9CHwBw3YPKwQ8
Con chúc Cô và bé một cuối tuần nhiều niềm vui ạ!</t>
  </si>
  <si>
    <t>Demand side + Equilibrium</t>
  </si>
  <si>
    <t>A-level Econs Châu Anh - 2026/07/30 04:54 CEST – Recording 2</t>
  </si>
  <si>
    <t>Supply side + Equilibrium state</t>
  </si>
  <si>
    <t>A-level Econs Châu Anh - 2026/08/03 04:57 CEST – Recording</t>
  </si>
  <si>
    <t>Changes in Price: Supply and Demand interaction</t>
  </si>
  <si>
    <t>A-level Econs Châu Anh - 2026/08/05 04:57 CEST – Recording</t>
  </si>
  <si>
    <t>@Chi Vũ Dạ Cô ơi con xin phép tổng kết tình hình học của bé Châu Anh tuần này ạ
Buổi 1 (3/8): bé được học về demand and supply interaction, đi sâu vào phần interaction từ 2 phía của thị trường cũng như là học kĩ phần đọc diagram và table ạ.
Buổi 2 (6/8) và Buổi 3 (7/8): theo con quan sát và nguyện vọng của bé thì bé còn chưa vững phần section 2 này nên 2 buổi này 2 anh em tập trung review kiến thức của toàn bộ section và giải đề thi thật có liên quan đến phần Supply &amp; Demand ạ.
@Eggtree ơi, em làm thêm bài tập ở đây nha: https://docs.google.com/forms/d/e/1FAIpQLSey-bRD1D1YKwu8QaQSSG0lluGZr1oXjc2xtssahQOw4Iu3cg/viewform
Những cầu diagram thì em chịu khó nhìn từ file này hộ anh nhé.
Con chúc Cô và bé một cuối tuần vui vẻ ạ!</t>
  </si>
  <si>
    <t>Review Supply and Demand (part 1)</t>
  </si>
  <si>
    <t>A-level Econs Châu Anh - 2026/08/06 04:57 CEST – Recording</t>
  </si>
  <si>
    <t>Review Supply and Demand (part 2)</t>
  </si>
  <si>
    <t>A-level Econs Châu Anh - 2026/08/07 04:57 CEST – Recording</t>
  </si>
  <si>
    <t>16:00 - 18:15</t>
  </si>
  <si>
    <t>Price Elasticity of Demand</t>
  </si>
  <si>
    <t>A-level Econs Châu Anh - 2026/08/13 10:56 CEST – Recording 2</t>
  </si>
  <si>
    <t>@Chi Vũ Dạ Cô ơi con xin phép tổng kết tình hình học của bé Châu Anh tuần này ạ
Buổi 1 (13/8): bé được học về Price Elasticity of Demand, đi sâu vào mechanism, cách tính và các tác nhân ảnh hưởng đến nó ạ.
Buổi 2 (15/8): bé được học nốt Price Elasticity of Demand, kết thúc Section 2 và học được 1/2 bài đầu tiên của Section 3 The Market Economics System ạ. 2 anh em cũng dành 15p ra để con check lại việc học trên lớp, nguyện vọng, và định hướng tương lai của bé ạ.
@Eggtree ơi, bài tập tuần này là những câu còn lại về elasticity trong file này nha em.
Con chúc Cô và em một cuối tuần vui vẻ ạ!</t>
  </si>
  <si>
    <t>09:45 - 12:00</t>
  </si>
  <si>
    <t>Price Elasticity of Supply + 1/2 The Market Economics System</t>
  </si>
  <si>
    <t>Link lỗi :(</t>
  </si>
  <si>
    <t>1/2 Market Economics System + Hướng dẫn bài trên lớp</t>
  </si>
  <si>
    <t>A-level Econs Châu Anh - 2026/08/18 11:54 CEST – Recording</t>
  </si>
  <si>
    <t>@Chi Vũ dạ Cô ơi, con xin phép update tình hình học tập tuần này của em Châu Anh ạ:
Buổi 1 (18/8): Em được học nốt phần còn lại của The Market Economics System và con cũng dành thời gian để khảo lại bài trên lớp cũng như update giáo trình cho khớp với những gì em học ạ.
Buổi 2 (20/8): Em được học về phần Market Failure, cơ chế và một số cách hạn chế Market Failure xảy ra được thực hiện bởi nhà nước ạ.
@Eggtree bài tập tuần này trong link này nha em: https://docs.google.com/forms/d/e/1FAIpQLScWp39J8RzhqwKKtPQf7oVXwotcM_EOn4vkQUuwUO3reWonag/viewform
Con chúc cô và em một cuối tuần vui vẻ ạ!</t>
  </si>
  <si>
    <t>13:30 - 15:45</t>
  </si>
  <si>
    <t>Market Failure - Why Invisible Hand Fail</t>
  </si>
  <si>
    <t>A-level Econs Châu Anh - 2026/08/20 08:35 CEST – Recording</t>
  </si>
  <si>
    <t>16:00 - 18:00</t>
  </si>
  <si>
    <t xml:space="preserve">Review Section 2 </t>
  </si>
  <si>
    <t>A-level Econs Châu Anh - 2026/08/27 10:57 CEST – Recording</t>
  </si>
  <si>
    <t>Checking</t>
  </si>
  <si>
    <t>Dạ Cô @Chi Vũ ơi, cháu xin phép báo cáo tình hình học tập tuần này của bé Châu Anh ạ:
Buổi 1 (1/9): Em được học về Mixed Economy, cách hoạt động và hiểu thêm về mô hình kinh tế phổ biến nhất ạ. Kèm theo đó con cũng khảo bài trên lớp của em luôn ạ
Buổi 2 (3/9): Em được làm bài tập về toàn bộ những phần Market Economic, Market Failure và Mixed Economy ạ.
Buổi 3 (5/9): em được học về Money và Banking, tìm hiểu về nguồn gốc của tiền tệ, vai trò của ngân hàng trong kinh tế học ạ
@Eggtree ơi, link bài tập tuần này đây nha em. Cố gắng làm bài tập nhiều thì mới giỏi lên được và đỗ trường tốt nhé https://docs.google.com/forms/d/e/1FAIpQLSeZ3LQZNqMTGhis0jVw_uZvdt-FHqkVb4SB5KOphWhDZBs2ew/viewform?usp=sharing&amp;ouid=111010156552142916059
Con chúc Cô và em một cuối tuần vui vẻ ạ</t>
  </si>
  <si>
    <t>15:00 - 17:00</t>
  </si>
  <si>
    <t>Mixed Market + Hướng dẫn bài trên lớp</t>
  </si>
  <si>
    <t>A-level Econs Châu Anh - 2026/08/31 10:23 CEST – Recording</t>
  </si>
  <si>
    <t>Writing Essay Correction</t>
  </si>
  <si>
    <t>A-level Econs Châu Anh - 2026/09/03 11:20 CEST – Recording</t>
  </si>
  <si>
    <t>10:00 - 12:00</t>
  </si>
  <si>
    <t xml:space="preserve">Money and Banking </t>
  </si>
  <si>
    <t>A-level Econs Châu Anh - 2026/09/05 04:57 CEST – Recording</t>
  </si>
  <si>
    <t>Households: Spend, Save or Borrow? (Household Economics)</t>
  </si>
  <si>
    <t>A-level Econs Châu Anh - 2026/09/10 10:47 CEST – Recording</t>
  </si>
  <si>
    <t>Dạ Cô @Chi Vũ ơi, con xin phép báo cáo tình hình học tập tuần này của bé Châu Anh ạ:
Buổi 1 (10/9): Em được học về Household Economics, cách một hộ gia đình chi tiêu và các yếu tố ảnh hưởng.
Buổi 2 (3/9): Em được học về Labor Economics, tìm hiểu về nguồn gốc của sự phân công lao động và các yếu tố ảnh hưởng đến người lao động ạ
Buổi 3 (5/9): em được ôn tập về toàn bộ phần Labor và Household Economics ạ
@Eggtree  ơi, link bài tập tuần này đây nha em: https://docs.google.com/forms/d/e/1FAIpQLSdknurpkcnCplYW07W63_5VzePxkZmNW2iwqJYTwARtztSJoQ/viewform
Con chúc Cô và em một tuần mới vui vẻ ạ</t>
  </si>
  <si>
    <t>Workers: Why Some Jobs Pay More (Labor Economics)</t>
  </si>
  <si>
    <t>A-level Econs Châu Anh - 2026/09/13 04:57 CEST – Recording</t>
  </si>
  <si>
    <t>16:00 - 17:30</t>
  </si>
  <si>
    <t>A-level Econs Châu Anh - 2026/09/15 10:53 CEST – Recording</t>
  </si>
  <si>
    <t>19:00 - 21:00</t>
  </si>
  <si>
    <t>Labor Union (Labor Economics)</t>
  </si>
  <si>
    <t>A-level Econs Châu Anh - 2026/09/20 09:56 CEST – Recording</t>
  </si>
  <si>
    <t>@Chi Vũ Dạ Cô ơi, con xin phép báo cáo tình hình học của em Châu Anh tuần này ạ:
Buổi 1 (15/9): Em được học về Labor Union, đây là một mảng nữa của Labor Economics ạ. Em được học và tìm hiểu về incentive, reason tại sao cần có Union ạ.
Buổi 2 (20/9): Em được review toàn bộ Section 3 bao gồm Banking, Household Economics và Labor Economics ạ
Dạ vì em Châu Anh sẽ thi giữa kì vào tháng sau nên 2 tuần tiếp theo con sẽ dạy 3 buổi 1 tuần để dư ra thời gian ôn tập cho bé thêm nha Cô.
Con chúc Cô và em buổi tối vui vẻ ạ!</t>
  </si>
  <si>
    <t>Firms - Small, Large, and Growing</t>
  </si>
  <si>
    <t>A-level Econs Châu Anh - 2026/09/21 13:55 CEST – Recording</t>
  </si>
  <si>
    <t xml:space="preserve">Review Section 3 </t>
  </si>
  <si>
    <t>A-level Econs - Châu Anh - 2026/09/23 13:55 CEST – Recording</t>
  </si>
  <si>
    <t>@Chi Vũ Dạ Cô ơi, con xin phép báo cáo tình hình học của em Châu Anh tuần này ạ:
Buổi 1 (21/9): Em được học về Firms, tìm hiểu về intuition, operation, direction và strategy của từng loại công ty ạ.
Buổi 2 (23/9) + Buổi 3 (25/9): Em được review lại phần Microeconomics để chuẩn bị thi giữa kỳ ạ
@Eggtree nhớ làm bài nha em để cuối tuần mình sửa nhé.
Con chúc Cô và em tuần mới vui vẻ ạ!</t>
  </si>
  <si>
    <t>Review Microeconomics (part 1)</t>
  </si>
  <si>
    <t>A-level Econs Châu Anh - 2026/09/25 13:55 CEST – Recording</t>
  </si>
  <si>
    <t>Review Microeconomics (part 2)</t>
  </si>
  <si>
    <t>A-level Econs Châu Anh - 2026/10/02 13:56 CEST – Recording</t>
  </si>
  <si>
    <t>@Chi Vũ Cô ơi dạ con xin phép update tình hình học tuần này của em Châu Anh nha ạ
Buổi 1 (2/10): Em được con khảo bài phần Microeconomics để đi thi giữa kỳ, bao gồm tất cả lý thuyết liên quan và MCQ ạ
Buổi 2 (4/10): Em được con chấm và chữa bài tại chỗ phần essay để chuẩn bị thi giữa kỳ ạ.
Nhận thấy em còn chưa vững phần tính toán nên con và em sẽ tiếp tục ôn kỹ hơn phần này trong tuần tới ạ.
@Eggtree ơi, a gửi thêm link để em luyện tập phần tính toán nhé https://docs.google.com/forms/d/11_g24XT_Y71SuTjshDneLQVHN43AGqwPKlaHaU3x4wM/edit
Con chúc Cô và em một buổi tối vui vẻ ạ!</t>
  </si>
  <si>
    <t>Review Midterm (part 1)</t>
  </si>
  <si>
    <t>A-level Econs Châu Anh - 2026/10/04 13:25 CEST – Recording</t>
  </si>
  <si>
    <t>20:00 - 21:30</t>
  </si>
  <si>
    <t xml:space="preserve">The Role of Government </t>
  </si>
  <si>
    <t>Acc em mất pro nên không recording được :(</t>
  </si>
  <si>
    <t>What Government Aims For</t>
  </si>
  <si>
    <t>Payment summary</t>
  </si>
  <si>
    <t>Set the payment period below. Only classes with status "Completed" inside the period are counted.</t>
  </si>
  <si>
    <t>Period start</t>
  </si>
  <si>
    <t>Period end</t>
  </si>
  <si>
    <t>Period</t>
  </si>
  <si>
    <t>Completed classes</t>
  </si>
  <si>
    <t>Paid?</t>
  </si>
  <si>
    <t>Notes</t>
  </si>
  <si>
    <t>1/7 - 31/7</t>
  </si>
  <si>
    <t>Thanh toán 2 đợt = 10.700.000</t>
  </si>
  <si>
    <t>1/8 - 24/8</t>
  </si>
  <si>
    <t>27-Aug-26 - 11-Oct-26</t>
  </si>
  <si>
    <t>No</t>
  </si>
  <si>
    <t>Thanh toán 
Lần 1: 5 triệu</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</si>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</sst>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
  </numFmts>
  <fonts count="15">
    <font>
      <sz val="11.0"/>
      <color theme="1"/>
      <name val="Calibri"/>
      <scheme val="minor"/>
    </font>
    <font>
      <b/>
      <sz val="13.0"/>
      <color theme="1"/>
      <name val="Arial"/>
    </font>
    <font>
      <sz val="11.0"/>
      <color theme="1"/>
      <name val="Arial"/>
    </font>
    <font>
      <b/>
      <sz val="11.0"/>
      <color rgb="FFFFFFFF"/>
      <name val="Arial"/>
    </font>
    <font>
      <color theme="1"/>
      <name val="Calibri"/>
      <scheme val="minor"/>
    </font>
    <font>
      <sz val="11.0"/>
      <color rgb="FF0000FF"/>
      <name val="Arial"/>
    </font>
    <font/>
    <font>
      <u/>
      <color rgb="FF0000FF"/>
    </font>
    <font>
      <u/>
      <sz val="11.0"/>
      <color rgb="FF0000FF"/>
      <name val="Arial"/>
    </font>
    <font>
      <u/>
      <sz val="11.0"/>
      <color rgb="FF0000FF"/>
      <name val="Arial"/>
    </font>
    <font>
      <u/>
      <sz val="11.0"/>
      <color rgb="FF0000FF"/>
      <name val="Arial"/>
    </font>
    <font>
      <u/>
      <sz val="11.0"/>
      <color theme="1"/>
      <name val="Arial"/>
    </font>
    <font>
      <u/>
      <sz val="11.0"/>
      <color theme="1"/>
      <name val="Arial"/>
    </font>
    <font>
      <i/>
      <sz val="10.0"/>
      <color rgb="FF808080"/>
      <name val="Arial"/>
    </font>
    <font>
      <b/>
      <sz val="11.0"/>
      <color theme="1"/>
      <name val="Arial"/>
    </font>
  </fonts>
  <fills count="5">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s>
  <borders count="6">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BFBFBF"/>
      </left>
      <right style="thin">
        <color rgb="FFBFBFBF"/>
      </right>
      <top style="double">
        <color rgb="FF000000"/>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0" fillId="0" fontId="4" numFmtId="0" xfId="0" applyAlignment="1" applyFont="1">
      <alignment readingOrder="0"/>
    </xf>
    <xf borderId="1" fillId="0" fontId="2" numFmtId="0" xfId="0" applyAlignment="1" applyBorder="1" applyFont="1">
      <alignment shrinkToFit="0" vertical="bottom" wrapText="0"/>
    </xf>
    <xf borderId="1" fillId="0" fontId="5" numFmtId="164" xfId="0" applyAlignment="1" applyBorder="1" applyFont="1" applyNumberFormat="1">
      <alignment readingOrder="0" shrinkToFit="0" vertical="bottom" wrapText="0"/>
    </xf>
    <xf borderId="1" fillId="0" fontId="5" numFmtId="0" xfId="0" applyAlignment="1" applyBorder="1" applyFont="1">
      <alignment readingOrder="0" shrinkToFit="0" vertical="bottom" wrapText="0"/>
    </xf>
    <xf borderId="1" fillId="0" fontId="5" numFmtId="0" xfId="0" applyAlignment="1" applyBorder="1" applyFont="1">
      <alignment shrinkToFit="0" vertical="bottom" wrapText="0"/>
    </xf>
    <xf borderId="2" fillId="0" fontId="5" numFmtId="0" xfId="0" applyAlignment="1" applyBorder="1" applyFont="1">
      <alignment readingOrder="0" shrinkToFit="0" vertical="bottom" wrapText="0"/>
    </xf>
    <xf borderId="1" fillId="0" fontId="2" numFmtId="0" xfId="0" applyAlignment="1" applyBorder="1" applyFont="1">
      <alignment readingOrder="0" shrinkToFit="0" vertical="bottom" wrapText="0"/>
    </xf>
    <xf borderId="3" fillId="0" fontId="6" numFmtId="0" xfId="0" applyBorder="1" applyFont="1"/>
    <xf borderId="4" fillId="0" fontId="6" numFmtId="0" xfId="0" applyBorder="1" applyFont="1"/>
    <xf borderId="0" fillId="0" fontId="7" numFmtId="0" xfId="0" applyAlignment="1" applyFont="1">
      <alignment readingOrder="0"/>
    </xf>
    <xf borderId="1" fillId="0" fontId="8" numFmtId="0" xfId="0" applyAlignment="1" applyBorder="1" applyFont="1">
      <alignment vertical="bottom"/>
    </xf>
    <xf borderId="1" fillId="0" fontId="9" numFmtId="0" xfId="0" applyAlignment="1" applyBorder="1" applyFont="1">
      <alignment readingOrder="0" vertical="bottom"/>
    </xf>
    <xf borderId="1" fillId="0" fontId="10" numFmtId="0" xfId="0" applyAlignment="1" applyBorder="1" applyFont="1">
      <alignment readingOrder="0" shrinkToFit="0" vertical="bottom" wrapText="0"/>
    </xf>
    <xf borderId="1" fillId="0" fontId="11" numFmtId="0" xfId="0" applyAlignment="1" applyBorder="1" applyFont="1">
      <alignment readingOrder="0" shrinkToFit="0" vertical="bottom" wrapText="0"/>
    </xf>
    <xf borderId="1" fillId="0" fontId="12" numFmtId="0" xfId="0" applyAlignment="1" applyBorder="1" applyFont="1">
      <alignment readingOrder="0" vertical="bottom"/>
    </xf>
    <xf borderId="1" fillId="0" fontId="5" numFmtId="164" xfId="0" applyAlignment="1" applyBorder="1" applyFont="1" applyNumberFormat="1">
      <alignment shrinkToFit="0" vertical="bottom" wrapText="0"/>
    </xf>
    <xf borderId="0" fillId="0" fontId="1"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0" fillId="3" fontId="5" numFmtId="164" xfId="0" applyAlignment="1" applyFill="1" applyFont="1" applyNumberFormat="1">
      <alignment shrinkToFit="0" vertical="bottom" wrapText="0"/>
    </xf>
    <xf borderId="1" fillId="3" fontId="5" numFmtId="164" xfId="0" applyAlignment="1" applyBorder="1" applyFill="1" applyFont="1" applyNumberFormat="1">
      <alignment shrinkToFit="0" vertical="bottom" wrapText="0"/>
    </xf>
    <xf borderId="1" fillId="3" fontId="5" numFmtId="0" xfId="0" applyAlignment="1" applyBorder="1" applyFill="1" applyFont="1">
      <alignment readingOrder="0" shrinkToFit="0" vertical="bottom" wrapText="0"/>
    </xf>
    <xf borderId="1" fillId="4" fontId="2" numFmtId="0" xfId="0" applyAlignment="1" applyBorder="1" applyFill="1" applyFont="1">
      <alignment readingOrder="0" shrinkToFit="0" vertical="bottom" wrapText="0"/>
    </xf>
    <xf borderId="1" fillId="4" fontId="5" numFmtId="0" xfId="0" applyAlignment="1" applyBorder="1" applyFill="1" applyFont="1">
      <alignment readingOrder="0" shrinkToFit="0" vertical="bottom" wrapText="0"/>
    </xf>
    <xf borderId="1" fillId="3" fontId="5" numFmtId="0" xfId="0" applyAlignment="1" applyBorder="1" applyFill="1" applyFont="1">
      <alignment shrinkToFit="0" vertical="bottom" wrapText="0"/>
    </xf>
    <xf borderId="1" fillId="4" fontId="2" numFmtId="0" xfId="0" applyAlignment="1" applyBorder="1" applyFill="1" applyFont="1">
      <alignment shrinkToFit="0" vertical="bottom" wrapText="0"/>
    </xf>
    <xf borderId="1" fillId="4" fontId="5" numFmtId="0" xfId="0" applyAlignment="1" applyBorder="1" applyFill="1" applyFont="1">
      <alignment shrinkToFit="0" vertical="bottom" wrapText="0"/>
    </xf>
    <xf borderId="5" fillId="0" fontId="1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_Hv_aFfENRS2v0igy84uHlAhofUErgmP/view?usp=drive_link" TargetMode="External"/><Relationship Id="rId11" Type="http://schemas.openxmlformats.org/officeDocument/2006/relationships/hyperlink" Target="https://drive.google.com/file/d/1aiybHmiU2BZjjyFAbTxleX491VtqCR3Q/view?usp=drive_link" TargetMode="External"/><Relationship Id="rId22" Type="http://schemas.openxmlformats.org/officeDocument/2006/relationships/hyperlink" Target="https://drive.google.com/file/d/1vxh8ICy3C7RmO9BOwKNXWt4Yakv_P6bY/view?usp=drive_link" TargetMode="External"/><Relationship Id="rId10" Type="http://schemas.openxmlformats.org/officeDocument/2006/relationships/hyperlink" Target="https://drive.google.com/file/d/1q7rAx2ubqM6qo2ZCCDPHLUItkX7KN468/view?usp=drive_link" TargetMode="External"/><Relationship Id="rId21" Type="http://schemas.openxmlformats.org/officeDocument/2006/relationships/hyperlink" Target="https://drive.google.com/file/d/1F_OxOkXaYZitI9K_YYPRph8l1iNqrpO5/view?usp=drive_link" TargetMode="External"/><Relationship Id="rId13" Type="http://schemas.openxmlformats.org/officeDocument/2006/relationships/hyperlink" Target="https://drive.google.com/file/d/1Vul0-V4wS3iYpXyEnXTlZojCjdBoz9BR/view?usp=drive_link" TargetMode="External"/><Relationship Id="rId24" Type="http://schemas.openxmlformats.org/officeDocument/2006/relationships/drawing" Target="../drawings/drawing2.xml"/><Relationship Id="rId12" Type="http://schemas.openxmlformats.org/officeDocument/2006/relationships/hyperlink" Target="https://drive.google.com/file/d/1N7K76Rgl_LQSJ98aVgohtDwW2ytyWT5o/view?usp=drive_link" TargetMode="External"/><Relationship Id="rId23" Type="http://schemas.openxmlformats.org/officeDocument/2006/relationships/hyperlink" Target="https://drive.google.com/file/d/166J_7kxOPnDZ93Lz7RqzAlERuDnimQBy/view?usp=drive_link" TargetMode="External"/><Relationship Id="rId1" Type="http://schemas.openxmlformats.org/officeDocument/2006/relationships/hyperlink" Target="https://docs.google.com/forms/d/1GuUq1rzz9-912IvytbUEC35dPDOmfZHyb0ZbznpPEX8/edit" TargetMode="External"/><Relationship Id="rId2" Type="http://schemas.openxmlformats.org/officeDocument/2006/relationships/hyperlink" Target="https://drive.google.com/file/d/1oWboNhuF1JhzEeG8MBjfq5vv5tMhmgpm/view?usp=drive_link" TargetMode="External"/><Relationship Id="rId3" Type="http://schemas.openxmlformats.org/officeDocument/2006/relationships/hyperlink" Target="https://drive.google.com/file/d/17hkxpGJ6NYrwb-ZlVNvdZ9xRRL79q1jN/view?usp=drive_link" TargetMode="External"/><Relationship Id="rId4" Type="http://schemas.openxmlformats.org/officeDocument/2006/relationships/hyperlink" Target="https://forms.gle/BdeX9CHwBw3YPKwQ8" TargetMode="External"/><Relationship Id="rId9" Type="http://schemas.openxmlformats.org/officeDocument/2006/relationships/hyperlink" Target="https://drive.google.com/file/d/1c86SUNzHxuwv0S97YpF84XqlYfuOA1mc/view?usp=drive_link" TargetMode="External"/><Relationship Id="rId15" Type="http://schemas.openxmlformats.org/officeDocument/2006/relationships/hyperlink" Target="https://drive.google.com/file/d/1DArqvkrpAk5LTqHg0RPP_i5lpZnbr7mm/view?usp=drive_link" TargetMode="External"/><Relationship Id="rId14" Type="http://schemas.openxmlformats.org/officeDocument/2006/relationships/hyperlink" Target="https://drive.google.com/file/d/11g56naluem4N9ebQsJtovxFq3stYo-gZ/view?usp=drive_link" TargetMode="External"/><Relationship Id="rId17" Type="http://schemas.openxmlformats.org/officeDocument/2006/relationships/hyperlink" Target="https://drive.google.com/file/d/18LXAaf-vVncuPJhfnkq1OjxYhRtAjCsS/view?usp=drive_link" TargetMode="External"/><Relationship Id="rId16" Type="http://schemas.openxmlformats.org/officeDocument/2006/relationships/hyperlink" Target="https://drive.google.com/file/d/1aJtlzZYzjz7V7p5wWyBbCsJSVnuUaM5k/view?usp=drive_link" TargetMode="External"/><Relationship Id="rId5" Type="http://schemas.openxmlformats.org/officeDocument/2006/relationships/hyperlink" Target="https://drive.google.com/file/d/1iWa_cRVEVB4Xqw6N8Xcq5YXatPMfGSH7/view?usp=drive_link" TargetMode="External"/><Relationship Id="rId19" Type="http://schemas.openxmlformats.org/officeDocument/2006/relationships/hyperlink" Target="https://drive.google.com/file/d/1RVq3tnYjqrCX1_c48Ia5J_x9g4YNXtQC/view?usp=drive_link" TargetMode="External"/><Relationship Id="rId6" Type="http://schemas.openxmlformats.org/officeDocument/2006/relationships/hyperlink" Target="https://drive.google.com/file/d/1DpewM52rhEZZvAAK94T2WUcYhmQjRSTy/view?usp=drive_link" TargetMode="External"/><Relationship Id="rId18" Type="http://schemas.openxmlformats.org/officeDocument/2006/relationships/hyperlink" Target="https://drive.google.com/file/d/1Jl2FXNlF23LADUoAXBY2t6qVtggL76N7/view?usp=drive_link" TargetMode="External"/><Relationship Id="rId7" Type="http://schemas.openxmlformats.org/officeDocument/2006/relationships/hyperlink" Target="https://drive.google.com/file/d/1iJlO4Rh2bI_I36cAnKlRmYgJafRcuXrx/view?usp=drive_link" TargetMode="External"/><Relationship Id="rId8" Type="http://schemas.openxmlformats.org/officeDocument/2006/relationships/hyperlink" Target="https://drive.google.com/file/d/1bYMSS9MkoKM6uxQp63gW-qrfJRlinKBh/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00.0"/>
    <col customWidth="1" min="3" max="26" width="8.71"/>
  </cols>
  <sheetData>
    <row r="1" ht="19.5" customHeight="1">
      <c r="B1" s="1" t="s">
        <v>0</v>
      </c>
    </row>
    <row r="2" ht="19.5" customHeight="1">
      <c r="B2" s="2"/>
    </row>
    <row r="3" ht="45.0" customHeight="1">
      <c r="B3" s="2" t="s">
        <v>1</v>
      </c>
    </row>
    <row r="4" ht="45.0" customHeight="1">
      <c r="B4" s="2" t="s">
        <v>2</v>
      </c>
    </row>
    <row r="5" ht="45.0" customHeight="1">
      <c r="B5" s="2" t="s">
        <v>3</v>
      </c>
    </row>
    <row r="6" ht="19.5" customHeight="1">
      <c r="B6" s="2"/>
    </row>
    <row r="7" ht="45.0" customHeight="1">
      <c r="B7" s="2" t="s">
        <v>4</v>
      </c>
    </row>
    <row r="8" ht="45.0" customHeight="1">
      <c r="B8" s="2"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2.0"/>
    <col customWidth="1" min="3" max="4" width="15.0"/>
    <col customWidth="1" min="5" max="5" width="7.14"/>
    <col customWidth="1" min="6" max="6" width="20.0"/>
    <col customWidth="1" min="7" max="7" width="38.71"/>
    <col customWidth="1" min="8" max="8" width="45.57"/>
    <col customWidth="1" min="9" max="9" width="9.57"/>
    <col customWidth="1" min="10" max="10" width="14.0"/>
    <col customWidth="1" min="11" max="11" width="42.57"/>
    <col customWidth="1" min="12" max="28" width="8.71"/>
  </cols>
  <sheetData>
    <row r="1" ht="27.75" customHeight="1">
      <c r="A1" s="3" t="s">
        <v>6</v>
      </c>
      <c r="B1" s="3" t="s">
        <v>7</v>
      </c>
      <c r="C1" s="4" t="s">
        <v>8</v>
      </c>
      <c r="D1" s="3" t="s">
        <v>9</v>
      </c>
      <c r="E1" s="3" t="s">
        <v>10</v>
      </c>
      <c r="F1" s="3" t="s">
        <v>11</v>
      </c>
      <c r="G1" s="3" t="s">
        <v>12</v>
      </c>
      <c r="H1" s="3" t="s">
        <v>13</v>
      </c>
      <c r="I1" s="4" t="s">
        <v>14</v>
      </c>
      <c r="J1" s="3" t="s">
        <v>15</v>
      </c>
      <c r="K1" s="3" t="s">
        <v>16</v>
      </c>
      <c r="L1" s="5" t="s">
        <v>17</v>
      </c>
    </row>
    <row r="2">
      <c r="A2" s="6">
        <v>1.0</v>
      </c>
      <c r="B2" s="7">
        <v>46209.0</v>
      </c>
      <c r="C2" s="8">
        <v>1.5</v>
      </c>
      <c r="D2" s="8" t="s">
        <v>18</v>
      </c>
      <c r="E2" s="8" t="s">
        <v>19</v>
      </c>
      <c r="F2" s="8" t="s">
        <v>20</v>
      </c>
      <c r="G2" s="8" t="s">
        <v>21</v>
      </c>
      <c r="H2" s="9"/>
      <c r="I2" s="8" t="s">
        <v>22</v>
      </c>
      <c r="J2" s="9" t="s">
        <v>23</v>
      </c>
      <c r="K2" s="10" t="s">
        <v>24</v>
      </c>
    </row>
    <row r="3">
      <c r="A3" s="11">
        <v>2.0</v>
      </c>
      <c r="B3" s="7">
        <v>46211.0</v>
      </c>
      <c r="C3" s="8">
        <v>1.5</v>
      </c>
      <c r="D3" s="8" t="s">
        <v>18</v>
      </c>
      <c r="E3" s="8" t="s">
        <v>19</v>
      </c>
      <c r="F3" s="8" t="s">
        <v>20</v>
      </c>
      <c r="G3" s="8" t="s">
        <v>25</v>
      </c>
      <c r="H3" s="9"/>
      <c r="I3" s="8" t="s">
        <v>22</v>
      </c>
      <c r="J3" s="8" t="s">
        <v>23</v>
      </c>
      <c r="K3" s="12"/>
    </row>
    <row r="4">
      <c r="A4" s="11">
        <v>3.0</v>
      </c>
      <c r="B4" s="7">
        <v>46213.0</v>
      </c>
      <c r="C4" s="8">
        <v>1.5</v>
      </c>
      <c r="D4" s="8" t="s">
        <v>18</v>
      </c>
      <c r="E4" s="8" t="s">
        <v>19</v>
      </c>
      <c r="F4" s="8" t="s">
        <v>20</v>
      </c>
      <c r="G4" s="8" t="s">
        <v>26</v>
      </c>
      <c r="H4" s="9"/>
      <c r="I4" s="8" t="s">
        <v>22</v>
      </c>
      <c r="J4" s="8" t="s">
        <v>23</v>
      </c>
      <c r="K4" s="13"/>
    </row>
    <row r="5">
      <c r="A5" s="11">
        <v>4.0</v>
      </c>
      <c r="B5" s="7">
        <v>46223.0</v>
      </c>
      <c r="C5" s="8">
        <v>1.5</v>
      </c>
      <c r="D5" s="8" t="s">
        <v>27</v>
      </c>
      <c r="E5" s="8" t="s">
        <v>19</v>
      </c>
      <c r="F5" s="8" t="s">
        <v>20</v>
      </c>
      <c r="G5" s="8" t="s">
        <v>28</v>
      </c>
      <c r="H5" s="9"/>
      <c r="I5" s="8" t="s">
        <v>22</v>
      </c>
      <c r="J5" s="8" t="s">
        <v>23</v>
      </c>
      <c r="K5" s="10" t="s">
        <v>29</v>
      </c>
      <c r="L5" s="14" t="s">
        <v>30</v>
      </c>
    </row>
    <row r="6">
      <c r="A6" s="11">
        <v>5.0</v>
      </c>
      <c r="B6" s="7">
        <v>46225.0</v>
      </c>
      <c r="C6" s="8">
        <v>1.5</v>
      </c>
      <c r="D6" s="8" t="s">
        <v>27</v>
      </c>
      <c r="E6" s="8" t="s">
        <v>19</v>
      </c>
      <c r="F6" s="8" t="s">
        <v>20</v>
      </c>
      <c r="G6" s="8" t="s">
        <v>31</v>
      </c>
      <c r="H6" s="9"/>
      <c r="I6" s="8" t="s">
        <v>22</v>
      </c>
      <c r="J6" s="8" t="s">
        <v>23</v>
      </c>
      <c r="K6" s="12"/>
    </row>
    <row r="7">
      <c r="A7" s="11">
        <v>6.0</v>
      </c>
      <c r="B7" s="7">
        <v>46227.0</v>
      </c>
      <c r="C7" s="8">
        <v>1.5</v>
      </c>
      <c r="D7" s="8" t="s">
        <v>27</v>
      </c>
      <c r="E7" s="8" t="s">
        <v>19</v>
      </c>
      <c r="F7" s="8" t="s">
        <v>20</v>
      </c>
      <c r="G7" s="8" t="s">
        <v>32</v>
      </c>
      <c r="H7" s="9"/>
      <c r="I7" s="8" t="s">
        <v>22</v>
      </c>
      <c r="J7" s="8" t="s">
        <v>23</v>
      </c>
      <c r="K7" s="13"/>
    </row>
    <row r="8">
      <c r="A8" s="11">
        <v>7.0</v>
      </c>
      <c r="B8" s="7">
        <v>46230.0</v>
      </c>
      <c r="C8" s="8">
        <v>1.5</v>
      </c>
      <c r="D8" s="8" t="s">
        <v>27</v>
      </c>
      <c r="E8" s="8" t="s">
        <v>19</v>
      </c>
      <c r="F8" s="8" t="s">
        <v>20</v>
      </c>
      <c r="G8" s="8" t="s">
        <v>33</v>
      </c>
      <c r="H8" s="9"/>
      <c r="I8" s="8" t="s">
        <v>22</v>
      </c>
      <c r="J8" s="8" t="s">
        <v>23</v>
      </c>
      <c r="K8" s="10" t="s">
        <v>34</v>
      </c>
    </row>
    <row r="9">
      <c r="A9" s="11">
        <v>8.0</v>
      </c>
      <c r="B9" s="7">
        <v>46232.0</v>
      </c>
      <c r="C9" s="8">
        <v>1.5</v>
      </c>
      <c r="D9" s="8" t="s">
        <v>27</v>
      </c>
      <c r="E9" s="8" t="s">
        <v>19</v>
      </c>
      <c r="F9" s="8" t="s">
        <v>20</v>
      </c>
      <c r="G9" s="8" t="s">
        <v>35</v>
      </c>
      <c r="H9" s="15" t="s">
        <v>36</v>
      </c>
      <c r="I9" s="8" t="s">
        <v>22</v>
      </c>
      <c r="J9" s="8" t="s">
        <v>23</v>
      </c>
      <c r="K9" s="12"/>
    </row>
    <row r="10">
      <c r="A10" s="11">
        <v>9.0</v>
      </c>
      <c r="B10" s="7">
        <v>46234.0</v>
      </c>
      <c r="C10" s="8">
        <v>1.5</v>
      </c>
      <c r="D10" s="8" t="s">
        <v>27</v>
      </c>
      <c r="E10" s="8" t="s">
        <v>19</v>
      </c>
      <c r="F10" s="8" t="s">
        <v>20</v>
      </c>
      <c r="G10" s="8" t="s">
        <v>37</v>
      </c>
      <c r="H10" s="15" t="s">
        <v>38</v>
      </c>
      <c r="I10" s="8" t="s">
        <v>22</v>
      </c>
      <c r="J10" s="8" t="s">
        <v>23</v>
      </c>
      <c r="K10" s="13"/>
      <c r="L10" s="14" t="s">
        <v>30</v>
      </c>
    </row>
    <row r="11">
      <c r="A11" s="11">
        <v>10.0</v>
      </c>
      <c r="B11" s="7">
        <v>46237.0</v>
      </c>
      <c r="C11" s="8">
        <v>1.5</v>
      </c>
      <c r="D11" s="8" t="s">
        <v>27</v>
      </c>
      <c r="E11" s="8" t="s">
        <v>19</v>
      </c>
      <c r="F11" s="8" t="s">
        <v>20</v>
      </c>
      <c r="G11" s="8" t="s">
        <v>39</v>
      </c>
      <c r="H11" s="15" t="s">
        <v>40</v>
      </c>
      <c r="I11" s="8" t="s">
        <v>22</v>
      </c>
      <c r="J11" s="8" t="s">
        <v>23</v>
      </c>
      <c r="K11" s="10" t="s">
        <v>41</v>
      </c>
    </row>
    <row r="12">
      <c r="A12" s="11">
        <v>11.0</v>
      </c>
      <c r="B12" s="7">
        <v>46240.0</v>
      </c>
      <c r="C12" s="8">
        <v>1.5</v>
      </c>
      <c r="D12" s="8" t="s">
        <v>27</v>
      </c>
      <c r="E12" s="8" t="s">
        <v>19</v>
      </c>
      <c r="F12" s="8" t="s">
        <v>20</v>
      </c>
      <c r="G12" s="8" t="s">
        <v>42</v>
      </c>
      <c r="H12" s="16" t="s">
        <v>43</v>
      </c>
      <c r="I12" s="8" t="s">
        <v>22</v>
      </c>
      <c r="J12" s="8" t="s">
        <v>23</v>
      </c>
      <c r="K12" s="12"/>
    </row>
    <row r="13">
      <c r="A13" s="6">
        <f>IF(B13="","",ROW()-1)</f>
        <v>12</v>
      </c>
      <c r="B13" s="7">
        <v>46241.0</v>
      </c>
      <c r="C13" s="8">
        <v>1.5</v>
      </c>
      <c r="D13" s="8" t="s">
        <v>27</v>
      </c>
      <c r="E13" s="8" t="s">
        <v>19</v>
      </c>
      <c r="F13" s="8" t="s">
        <v>20</v>
      </c>
      <c r="G13" s="8" t="s">
        <v>44</v>
      </c>
      <c r="H13" s="15" t="s">
        <v>45</v>
      </c>
      <c r="I13" s="8" t="s">
        <v>22</v>
      </c>
      <c r="J13" s="8" t="s">
        <v>23</v>
      </c>
      <c r="K13" s="13"/>
    </row>
    <row r="14">
      <c r="A14" s="11">
        <v>13.0</v>
      </c>
      <c r="B14" s="7">
        <v>46247.0</v>
      </c>
      <c r="C14" s="8">
        <v>2.0</v>
      </c>
      <c r="D14" s="8" t="s">
        <v>46</v>
      </c>
      <c r="E14" s="8" t="s">
        <v>19</v>
      </c>
      <c r="F14" s="8" t="s">
        <v>20</v>
      </c>
      <c r="G14" s="8" t="s">
        <v>47</v>
      </c>
      <c r="H14" s="17" t="s">
        <v>48</v>
      </c>
      <c r="I14" s="8" t="s">
        <v>22</v>
      </c>
      <c r="J14" s="8" t="s">
        <v>23</v>
      </c>
      <c r="K14" s="10" t="s">
        <v>49</v>
      </c>
    </row>
    <row r="15">
      <c r="A15" s="11">
        <v>14.0</v>
      </c>
      <c r="B15" s="7">
        <v>46249.0</v>
      </c>
      <c r="C15" s="8">
        <v>2.0</v>
      </c>
      <c r="D15" s="8" t="s">
        <v>50</v>
      </c>
      <c r="E15" s="8" t="s">
        <v>19</v>
      </c>
      <c r="F15" s="8" t="s">
        <v>20</v>
      </c>
      <c r="G15" s="8" t="s">
        <v>51</v>
      </c>
      <c r="H15" s="8" t="s">
        <v>52</v>
      </c>
      <c r="I15" s="8" t="s">
        <v>22</v>
      </c>
      <c r="J15" s="8" t="s">
        <v>23</v>
      </c>
      <c r="K15" s="13"/>
    </row>
    <row r="16">
      <c r="A16" s="11">
        <v>15.0</v>
      </c>
      <c r="B16" s="7">
        <v>46252.0</v>
      </c>
      <c r="C16" s="8">
        <v>2.0</v>
      </c>
      <c r="D16" s="8" t="s">
        <v>46</v>
      </c>
      <c r="E16" s="8" t="s">
        <v>19</v>
      </c>
      <c r="F16" s="8" t="s">
        <v>20</v>
      </c>
      <c r="G16" s="8" t="s">
        <v>53</v>
      </c>
      <c r="H16" s="18" t="s">
        <v>54</v>
      </c>
      <c r="I16" s="8" t="s">
        <v>22</v>
      </c>
      <c r="J16" s="8" t="s">
        <v>23</v>
      </c>
      <c r="K16" s="10" t="s">
        <v>55</v>
      </c>
    </row>
    <row r="17">
      <c r="A17" s="11">
        <v>16.0</v>
      </c>
      <c r="B17" s="7">
        <v>46254.0</v>
      </c>
      <c r="C17" s="8">
        <v>2.0</v>
      </c>
      <c r="D17" s="8" t="s">
        <v>56</v>
      </c>
      <c r="E17" s="8" t="s">
        <v>19</v>
      </c>
      <c r="F17" s="8" t="s">
        <v>20</v>
      </c>
      <c r="G17" s="8" t="s">
        <v>57</v>
      </c>
      <c r="H17" s="18" t="s">
        <v>58</v>
      </c>
      <c r="I17" s="8" t="s">
        <v>22</v>
      </c>
      <c r="J17" s="8" t="s">
        <v>23</v>
      </c>
      <c r="K17" s="13"/>
    </row>
    <row r="18">
      <c r="A18" s="11">
        <v>17.0</v>
      </c>
      <c r="B18" s="7">
        <v>46261.0</v>
      </c>
      <c r="C18" s="8">
        <v>2.0</v>
      </c>
      <c r="D18" s="8" t="s">
        <v>59</v>
      </c>
      <c r="E18" s="8" t="s">
        <v>19</v>
      </c>
      <c r="F18" s="8" t="s">
        <v>20</v>
      </c>
      <c r="G18" s="8" t="s">
        <v>60</v>
      </c>
      <c r="H18" s="15" t="s">
        <v>61</v>
      </c>
      <c r="I18" s="8" t="s">
        <v>62</v>
      </c>
      <c r="J18" s="8" t="s">
        <v>23</v>
      </c>
      <c r="K18" s="10" t="s">
        <v>63</v>
      </c>
    </row>
    <row r="19">
      <c r="A19" s="11">
        <v>18.0</v>
      </c>
      <c r="B19" s="7">
        <v>46265.0</v>
      </c>
      <c r="C19" s="8">
        <v>2.0</v>
      </c>
      <c r="D19" s="8" t="s">
        <v>64</v>
      </c>
      <c r="E19" s="8" t="s">
        <v>19</v>
      </c>
      <c r="F19" s="8" t="s">
        <v>20</v>
      </c>
      <c r="G19" s="8" t="s">
        <v>65</v>
      </c>
      <c r="H19" s="15" t="s">
        <v>66</v>
      </c>
      <c r="I19" s="8" t="s">
        <v>62</v>
      </c>
      <c r="J19" s="8" t="s">
        <v>23</v>
      </c>
      <c r="K19" s="12"/>
    </row>
    <row r="20">
      <c r="A20" s="11">
        <v>19.0</v>
      </c>
      <c r="B20" s="7">
        <v>46268.0</v>
      </c>
      <c r="C20" s="8">
        <v>2.0</v>
      </c>
      <c r="D20" s="8" t="s">
        <v>59</v>
      </c>
      <c r="E20" s="8" t="s">
        <v>19</v>
      </c>
      <c r="F20" s="8" t="s">
        <v>20</v>
      </c>
      <c r="G20" s="8" t="s">
        <v>67</v>
      </c>
      <c r="H20" s="19" t="s">
        <v>68</v>
      </c>
      <c r="I20" s="8" t="s">
        <v>62</v>
      </c>
      <c r="J20" s="8" t="s">
        <v>23</v>
      </c>
      <c r="K20" s="12"/>
    </row>
    <row r="21" ht="15.75" customHeight="1">
      <c r="A21" s="11">
        <v>20.0</v>
      </c>
      <c r="B21" s="7">
        <v>46270.0</v>
      </c>
      <c r="C21" s="8">
        <v>2.0</v>
      </c>
      <c r="D21" s="8" t="s">
        <v>69</v>
      </c>
      <c r="E21" s="8" t="s">
        <v>19</v>
      </c>
      <c r="F21" s="8" t="s">
        <v>20</v>
      </c>
      <c r="G21" s="8" t="s">
        <v>70</v>
      </c>
      <c r="H21" s="18" t="s">
        <v>71</v>
      </c>
      <c r="I21" s="8" t="s">
        <v>62</v>
      </c>
      <c r="J21" s="8" t="s">
        <v>23</v>
      </c>
      <c r="K21" s="13"/>
    </row>
    <row r="22" ht="15.75" customHeight="1">
      <c r="A22" s="11">
        <v>21.0</v>
      </c>
      <c r="B22" s="7">
        <v>46275.0</v>
      </c>
      <c r="C22" s="8">
        <v>2.0</v>
      </c>
      <c r="D22" s="8" t="s">
        <v>59</v>
      </c>
      <c r="E22" s="8" t="s">
        <v>19</v>
      </c>
      <c r="F22" s="8" t="s">
        <v>20</v>
      </c>
      <c r="G22" s="8" t="s">
        <v>72</v>
      </c>
      <c r="H22" s="17" t="s">
        <v>73</v>
      </c>
      <c r="I22" s="8" t="s">
        <v>62</v>
      </c>
      <c r="J22" s="8" t="s">
        <v>23</v>
      </c>
      <c r="K22" s="10" t="s">
        <v>74</v>
      </c>
    </row>
    <row r="23" ht="15.75" customHeight="1">
      <c r="A23" s="11">
        <v>22.0</v>
      </c>
      <c r="B23" s="7">
        <v>46278.0</v>
      </c>
      <c r="C23" s="8">
        <v>2.0</v>
      </c>
      <c r="D23" s="8" t="s">
        <v>69</v>
      </c>
      <c r="E23" s="8" t="s">
        <v>19</v>
      </c>
      <c r="F23" s="8" t="s">
        <v>20</v>
      </c>
      <c r="G23" s="8" t="s">
        <v>75</v>
      </c>
      <c r="H23" s="17" t="s">
        <v>76</v>
      </c>
      <c r="I23" s="8" t="s">
        <v>62</v>
      </c>
      <c r="J23" s="8" t="s">
        <v>23</v>
      </c>
      <c r="K23" s="12"/>
    </row>
    <row r="24" ht="15.75" customHeight="1">
      <c r="A24" s="11">
        <v>23.0</v>
      </c>
      <c r="B24" s="7">
        <v>46280.0</v>
      </c>
      <c r="C24" s="8">
        <v>1.5</v>
      </c>
      <c r="D24" s="8" t="s">
        <v>77</v>
      </c>
      <c r="E24" s="8" t="s">
        <v>19</v>
      </c>
      <c r="F24" s="8" t="s">
        <v>20</v>
      </c>
      <c r="G24" s="8" t="s">
        <v>60</v>
      </c>
      <c r="H24" s="17" t="s">
        <v>78</v>
      </c>
      <c r="I24" s="8" t="s">
        <v>62</v>
      </c>
      <c r="J24" s="8" t="s">
        <v>23</v>
      </c>
      <c r="K24" s="13"/>
    </row>
    <row r="25" ht="15.75" customHeight="1">
      <c r="A25" s="11">
        <v>24.0</v>
      </c>
      <c r="B25" s="7">
        <v>46285.0</v>
      </c>
      <c r="C25" s="8">
        <v>2.0</v>
      </c>
      <c r="D25" s="8" t="s">
        <v>79</v>
      </c>
      <c r="E25" s="8" t="s">
        <v>19</v>
      </c>
      <c r="F25" s="8" t="s">
        <v>20</v>
      </c>
      <c r="G25" s="8" t="s">
        <v>80</v>
      </c>
      <c r="H25" s="17" t="s">
        <v>81</v>
      </c>
      <c r="I25" s="8" t="s">
        <v>62</v>
      </c>
      <c r="J25" s="8" t="s">
        <v>23</v>
      </c>
      <c r="K25" s="10" t="s">
        <v>82</v>
      </c>
    </row>
    <row r="26" ht="15.75" customHeight="1">
      <c r="A26" s="11">
        <v>25.0</v>
      </c>
      <c r="B26" s="7">
        <v>46286.0</v>
      </c>
      <c r="C26" s="8">
        <v>2.0</v>
      </c>
      <c r="D26" s="8" t="s">
        <v>79</v>
      </c>
      <c r="E26" s="8" t="s">
        <v>19</v>
      </c>
      <c r="F26" s="8" t="s">
        <v>20</v>
      </c>
      <c r="G26" s="8" t="s">
        <v>83</v>
      </c>
      <c r="H26" s="17" t="s">
        <v>84</v>
      </c>
      <c r="I26" s="8" t="s">
        <v>62</v>
      </c>
      <c r="J26" s="8" t="s">
        <v>23</v>
      </c>
      <c r="K26" s="13"/>
    </row>
    <row r="27" ht="15.75" customHeight="1">
      <c r="A27" s="11">
        <v>26.0</v>
      </c>
      <c r="B27" s="7">
        <v>46288.0</v>
      </c>
      <c r="C27" s="8">
        <v>2.0</v>
      </c>
      <c r="D27" s="8" t="s">
        <v>79</v>
      </c>
      <c r="E27" s="8" t="s">
        <v>19</v>
      </c>
      <c r="F27" s="8" t="s">
        <v>20</v>
      </c>
      <c r="G27" s="8" t="s">
        <v>85</v>
      </c>
      <c r="H27" s="17" t="s">
        <v>86</v>
      </c>
      <c r="I27" s="8" t="s">
        <v>62</v>
      </c>
      <c r="J27" s="8" t="s">
        <v>23</v>
      </c>
      <c r="K27" s="10" t="s">
        <v>87</v>
      </c>
    </row>
    <row r="28" ht="15.75" customHeight="1">
      <c r="A28" s="11">
        <v>27.0</v>
      </c>
      <c r="B28" s="7">
        <v>46290.0</v>
      </c>
      <c r="C28" s="8">
        <v>2.0</v>
      </c>
      <c r="D28" s="8" t="s">
        <v>79</v>
      </c>
      <c r="E28" s="8" t="s">
        <v>19</v>
      </c>
      <c r="F28" s="8" t="s">
        <v>20</v>
      </c>
      <c r="G28" s="8" t="s">
        <v>88</v>
      </c>
      <c r="H28" s="17" t="s">
        <v>89</v>
      </c>
      <c r="I28" s="8" t="s">
        <v>62</v>
      </c>
      <c r="J28" s="8" t="s">
        <v>23</v>
      </c>
      <c r="K28" s="13"/>
    </row>
    <row r="29" ht="15.75" customHeight="1">
      <c r="A29" s="11">
        <v>28.0</v>
      </c>
      <c r="B29" s="7">
        <v>46297.0</v>
      </c>
      <c r="C29" s="8">
        <v>2.0</v>
      </c>
      <c r="D29" s="8" t="s">
        <v>79</v>
      </c>
      <c r="E29" s="8" t="s">
        <v>19</v>
      </c>
      <c r="F29" s="8" t="s">
        <v>20</v>
      </c>
      <c r="G29" s="8" t="s">
        <v>90</v>
      </c>
      <c r="H29" s="17" t="s">
        <v>91</v>
      </c>
      <c r="I29" s="8" t="s">
        <v>62</v>
      </c>
      <c r="J29" s="8" t="s">
        <v>23</v>
      </c>
      <c r="K29" s="10" t="s">
        <v>92</v>
      </c>
    </row>
    <row r="30" ht="15.75" customHeight="1">
      <c r="A30" s="11">
        <v>29.0</v>
      </c>
      <c r="B30" s="7">
        <v>46299.0</v>
      </c>
      <c r="C30" s="8">
        <v>2.0</v>
      </c>
      <c r="D30" s="8" t="s">
        <v>79</v>
      </c>
      <c r="E30" s="8" t="s">
        <v>19</v>
      </c>
      <c r="F30" s="8" t="s">
        <v>20</v>
      </c>
      <c r="G30" s="8" t="s">
        <v>93</v>
      </c>
      <c r="H30" s="17" t="s">
        <v>94</v>
      </c>
      <c r="I30" s="8" t="s">
        <v>62</v>
      </c>
      <c r="J30" s="8" t="s">
        <v>23</v>
      </c>
      <c r="K30" s="13"/>
    </row>
    <row r="31" ht="15.75" customHeight="1">
      <c r="A31" s="11">
        <v>30.0</v>
      </c>
      <c r="B31" s="7">
        <v>46304.0</v>
      </c>
      <c r="C31" s="8">
        <v>1.5</v>
      </c>
      <c r="D31" s="8" t="s">
        <v>95</v>
      </c>
      <c r="E31" s="8" t="s">
        <v>19</v>
      </c>
      <c r="F31" s="8" t="s">
        <v>20</v>
      </c>
      <c r="G31" s="8" t="s">
        <v>96</v>
      </c>
      <c r="H31" s="8" t="s">
        <v>97</v>
      </c>
      <c r="I31" s="8" t="s">
        <v>62</v>
      </c>
      <c r="J31" s="8" t="s">
        <v>23</v>
      </c>
      <c r="K31" s="9"/>
    </row>
    <row r="32" ht="15.75" customHeight="1">
      <c r="A32" s="11">
        <v>31.0</v>
      </c>
      <c r="B32" s="7">
        <v>46306.0</v>
      </c>
      <c r="C32" s="8">
        <v>2.0</v>
      </c>
      <c r="D32" s="8" t="s">
        <v>64</v>
      </c>
      <c r="E32" s="8" t="s">
        <v>19</v>
      </c>
      <c r="F32" s="8" t="s">
        <v>20</v>
      </c>
      <c r="G32" s="8" t="s">
        <v>98</v>
      </c>
      <c r="H32" s="9"/>
      <c r="I32" s="8"/>
      <c r="J32" s="8" t="s">
        <v>23</v>
      </c>
      <c r="K32" s="9"/>
    </row>
    <row r="33" ht="15.75" customHeight="1">
      <c r="A33" s="6" t="str">
        <f t="shared" ref="A33:A201" si="1">IF(B33="","",ROW()-1)</f>
        <v/>
      </c>
      <c r="B33" s="20"/>
      <c r="C33" s="9"/>
      <c r="D33" s="9"/>
      <c r="E33" s="9"/>
      <c r="F33" s="9"/>
      <c r="G33" s="9"/>
      <c r="H33" s="9"/>
      <c r="I33" s="9"/>
      <c r="J33" s="9"/>
      <c r="K33" s="9"/>
    </row>
    <row r="34" ht="15.75" customHeight="1">
      <c r="A34" s="6" t="str">
        <f t="shared" si="1"/>
        <v/>
      </c>
      <c r="B34" s="20"/>
      <c r="C34" s="9"/>
      <c r="D34" s="9"/>
      <c r="E34" s="9"/>
      <c r="F34" s="9"/>
      <c r="G34" s="9"/>
      <c r="H34" s="9"/>
      <c r="I34" s="9"/>
      <c r="J34" s="9"/>
      <c r="K34" s="9"/>
    </row>
    <row r="35" ht="15.75" customHeight="1">
      <c r="A35" s="6" t="str">
        <f t="shared" si="1"/>
        <v/>
      </c>
      <c r="B35" s="20"/>
      <c r="C35" s="9"/>
      <c r="D35" s="9"/>
      <c r="E35" s="9"/>
      <c r="F35" s="9"/>
      <c r="G35" s="9"/>
      <c r="H35" s="9"/>
      <c r="I35" s="9"/>
      <c r="J35" s="9"/>
      <c r="K35" s="9"/>
    </row>
    <row r="36" ht="15.75" customHeight="1">
      <c r="A36" s="6" t="str">
        <f t="shared" si="1"/>
        <v/>
      </c>
      <c r="B36" s="20"/>
      <c r="C36" s="9"/>
      <c r="D36" s="9"/>
      <c r="E36" s="9"/>
      <c r="F36" s="9"/>
      <c r="G36" s="9"/>
      <c r="H36" s="9"/>
      <c r="I36" s="9"/>
      <c r="J36" s="9"/>
      <c r="K36" s="9"/>
    </row>
    <row r="37" ht="15.75" customHeight="1">
      <c r="A37" s="6" t="str">
        <f t="shared" si="1"/>
        <v/>
      </c>
      <c r="B37" s="20"/>
      <c r="C37" s="9"/>
      <c r="D37" s="9"/>
      <c r="E37" s="9"/>
      <c r="F37" s="9"/>
      <c r="G37" s="9"/>
      <c r="H37" s="9"/>
      <c r="I37" s="9"/>
      <c r="J37" s="9"/>
      <c r="K37" s="9"/>
    </row>
    <row r="38" ht="15.75" customHeight="1">
      <c r="A38" s="6" t="str">
        <f t="shared" si="1"/>
        <v/>
      </c>
      <c r="B38" s="20"/>
      <c r="C38" s="9"/>
      <c r="D38" s="9"/>
      <c r="E38" s="9"/>
      <c r="F38" s="9"/>
      <c r="G38" s="9"/>
      <c r="H38" s="9"/>
      <c r="I38" s="9"/>
      <c r="J38" s="9"/>
      <c r="K38" s="9"/>
    </row>
    <row r="39" ht="15.75" customHeight="1">
      <c r="A39" s="6" t="str">
        <f t="shared" si="1"/>
        <v/>
      </c>
      <c r="B39" s="20"/>
      <c r="C39" s="9"/>
      <c r="D39" s="9"/>
      <c r="E39" s="9"/>
      <c r="F39" s="9"/>
      <c r="G39" s="9"/>
      <c r="H39" s="9"/>
      <c r="I39" s="9"/>
      <c r="J39" s="9"/>
      <c r="K39" s="9"/>
    </row>
    <row r="40" ht="15.75" customHeight="1">
      <c r="A40" s="6" t="str">
        <f t="shared" si="1"/>
        <v/>
      </c>
      <c r="B40" s="20"/>
      <c r="C40" s="9"/>
      <c r="D40" s="9"/>
      <c r="E40" s="9"/>
      <c r="F40" s="9"/>
      <c r="G40" s="9"/>
      <c r="H40" s="9"/>
      <c r="I40" s="9"/>
      <c r="J40" s="9"/>
      <c r="K40" s="9"/>
    </row>
    <row r="41" ht="15.75" customHeight="1">
      <c r="A41" s="6" t="str">
        <f t="shared" si="1"/>
        <v/>
      </c>
      <c r="B41" s="20"/>
      <c r="C41" s="9"/>
      <c r="D41" s="9"/>
      <c r="E41" s="9"/>
      <c r="F41" s="9"/>
      <c r="G41" s="9"/>
      <c r="H41" s="9"/>
      <c r="I41" s="9"/>
      <c r="J41" s="9"/>
      <c r="K41" s="9"/>
    </row>
    <row r="42" ht="15.75" customHeight="1">
      <c r="A42" s="6" t="str">
        <f t="shared" si="1"/>
        <v/>
      </c>
      <c r="B42" s="20"/>
      <c r="C42" s="9"/>
      <c r="D42" s="9"/>
      <c r="E42" s="9"/>
      <c r="F42" s="9"/>
      <c r="G42" s="9"/>
      <c r="H42" s="9"/>
      <c r="I42" s="9"/>
      <c r="J42" s="9"/>
      <c r="K42" s="9"/>
    </row>
    <row r="43" ht="15.75" customHeight="1">
      <c r="A43" s="6" t="str">
        <f t="shared" si="1"/>
        <v/>
      </c>
      <c r="B43" s="20"/>
      <c r="C43" s="9"/>
      <c r="D43" s="9"/>
      <c r="E43" s="9"/>
      <c r="F43" s="9"/>
      <c r="G43" s="9"/>
      <c r="H43" s="9"/>
      <c r="I43" s="9"/>
      <c r="J43" s="9"/>
      <c r="K43" s="9"/>
    </row>
    <row r="44" ht="15.75" customHeight="1">
      <c r="A44" s="6" t="str">
        <f t="shared" si="1"/>
        <v/>
      </c>
      <c r="B44" s="20"/>
      <c r="C44" s="9"/>
      <c r="D44" s="9"/>
      <c r="E44" s="9"/>
      <c r="F44" s="9"/>
      <c r="G44" s="9"/>
      <c r="H44" s="9"/>
      <c r="I44" s="9"/>
      <c r="J44" s="9"/>
      <c r="K44" s="9"/>
    </row>
    <row r="45" ht="15.75" customHeight="1">
      <c r="A45" s="6" t="str">
        <f t="shared" si="1"/>
        <v/>
      </c>
      <c r="B45" s="20"/>
      <c r="C45" s="9"/>
      <c r="D45" s="9"/>
      <c r="E45" s="9"/>
      <c r="F45" s="9"/>
      <c r="G45" s="9"/>
      <c r="H45" s="9"/>
      <c r="I45" s="9"/>
      <c r="J45" s="9"/>
      <c r="K45" s="9"/>
    </row>
    <row r="46" ht="15.75" customHeight="1">
      <c r="A46" s="6" t="str">
        <f t="shared" si="1"/>
        <v/>
      </c>
      <c r="B46" s="20"/>
      <c r="C46" s="9"/>
      <c r="D46" s="9"/>
      <c r="E46" s="9"/>
      <c r="F46" s="9"/>
      <c r="G46" s="9"/>
      <c r="H46" s="9"/>
      <c r="I46" s="9"/>
      <c r="J46" s="9"/>
      <c r="K46" s="9"/>
    </row>
    <row r="47" ht="15.75" customHeight="1">
      <c r="A47" s="6" t="str">
        <f t="shared" si="1"/>
        <v/>
      </c>
      <c r="B47" s="20"/>
      <c r="C47" s="9"/>
      <c r="D47" s="9"/>
      <c r="E47" s="9"/>
      <c r="F47" s="9"/>
      <c r="G47" s="9"/>
      <c r="H47" s="9"/>
      <c r="I47" s="9"/>
      <c r="J47" s="9"/>
      <c r="K47" s="9"/>
    </row>
    <row r="48" ht="15.75" customHeight="1">
      <c r="A48" s="6" t="str">
        <f t="shared" si="1"/>
        <v/>
      </c>
      <c r="B48" s="20"/>
      <c r="C48" s="9"/>
      <c r="D48" s="9"/>
      <c r="E48" s="9"/>
      <c r="F48" s="9"/>
      <c r="G48" s="9"/>
      <c r="H48" s="9"/>
      <c r="I48" s="9"/>
      <c r="J48" s="9"/>
      <c r="K48" s="9"/>
    </row>
    <row r="49" ht="15.75" customHeight="1">
      <c r="A49" s="6" t="str">
        <f t="shared" si="1"/>
        <v/>
      </c>
      <c r="B49" s="20"/>
      <c r="C49" s="9"/>
      <c r="D49" s="9"/>
      <c r="E49" s="9"/>
      <c r="F49" s="9"/>
      <c r="G49" s="9"/>
      <c r="H49" s="9"/>
      <c r="I49" s="9"/>
      <c r="J49" s="9"/>
      <c r="K49" s="9"/>
    </row>
    <row r="50" ht="15.75" customHeight="1">
      <c r="A50" s="6" t="str">
        <f t="shared" si="1"/>
        <v/>
      </c>
      <c r="B50" s="20"/>
      <c r="C50" s="9"/>
      <c r="D50" s="9"/>
      <c r="E50" s="9"/>
      <c r="F50" s="9"/>
      <c r="G50" s="9"/>
      <c r="H50" s="9"/>
      <c r="I50" s="9"/>
      <c r="J50" s="9"/>
      <c r="K50" s="9"/>
    </row>
    <row r="51" ht="15.75" customHeight="1">
      <c r="A51" s="6" t="str">
        <f t="shared" si="1"/>
        <v/>
      </c>
      <c r="B51" s="20"/>
      <c r="C51" s="9"/>
      <c r="D51" s="9"/>
      <c r="E51" s="9"/>
      <c r="F51" s="9"/>
      <c r="G51" s="9"/>
      <c r="H51" s="9"/>
      <c r="I51" s="9"/>
      <c r="J51" s="9"/>
      <c r="K51" s="9"/>
    </row>
    <row r="52" ht="15.75" customHeight="1">
      <c r="A52" s="6" t="str">
        <f t="shared" si="1"/>
        <v/>
      </c>
      <c r="B52" s="20"/>
      <c r="C52" s="9"/>
      <c r="D52" s="9"/>
      <c r="E52" s="9"/>
      <c r="F52" s="9"/>
      <c r="G52" s="9"/>
      <c r="H52" s="9"/>
      <c r="I52" s="9"/>
      <c r="J52" s="9"/>
      <c r="K52" s="9"/>
    </row>
    <row r="53" ht="15.75" customHeight="1">
      <c r="A53" s="6" t="str">
        <f t="shared" si="1"/>
        <v/>
      </c>
      <c r="B53" s="20"/>
      <c r="C53" s="9"/>
      <c r="D53" s="9"/>
      <c r="E53" s="9"/>
      <c r="F53" s="9"/>
      <c r="G53" s="9"/>
      <c r="H53" s="9"/>
      <c r="I53" s="9"/>
      <c r="J53" s="9"/>
      <c r="K53" s="9"/>
    </row>
    <row r="54" ht="15.75" customHeight="1">
      <c r="A54" s="6" t="str">
        <f t="shared" si="1"/>
        <v/>
      </c>
      <c r="B54" s="20"/>
      <c r="C54" s="9"/>
      <c r="D54" s="9"/>
      <c r="E54" s="9"/>
      <c r="F54" s="9"/>
      <c r="G54" s="9"/>
      <c r="H54" s="9"/>
      <c r="I54" s="9"/>
      <c r="J54" s="9"/>
      <c r="K54" s="9"/>
    </row>
    <row r="55" ht="15.75" customHeight="1">
      <c r="A55" s="6" t="str">
        <f t="shared" si="1"/>
        <v/>
      </c>
      <c r="B55" s="20"/>
      <c r="C55" s="9"/>
      <c r="D55" s="9"/>
      <c r="E55" s="9"/>
      <c r="F55" s="9"/>
      <c r="G55" s="9"/>
      <c r="H55" s="9"/>
      <c r="I55" s="9"/>
      <c r="J55" s="9"/>
      <c r="K55" s="9"/>
    </row>
    <row r="56" ht="15.75" customHeight="1">
      <c r="A56" s="6" t="str">
        <f t="shared" si="1"/>
        <v/>
      </c>
      <c r="B56" s="20"/>
      <c r="C56" s="9"/>
      <c r="D56" s="9"/>
      <c r="E56" s="9"/>
      <c r="F56" s="9"/>
      <c r="G56" s="9"/>
      <c r="H56" s="9"/>
      <c r="I56" s="9"/>
      <c r="J56" s="9"/>
      <c r="K56" s="9"/>
    </row>
    <row r="57" ht="15.75" customHeight="1">
      <c r="A57" s="6" t="str">
        <f t="shared" si="1"/>
        <v/>
      </c>
      <c r="B57" s="20"/>
      <c r="C57" s="9"/>
      <c r="D57" s="9"/>
      <c r="E57" s="9"/>
      <c r="F57" s="9"/>
      <c r="G57" s="9"/>
      <c r="H57" s="9"/>
      <c r="I57" s="9"/>
      <c r="J57" s="9"/>
      <c r="K57" s="9"/>
    </row>
    <row r="58" ht="15.75" customHeight="1">
      <c r="A58" s="6" t="str">
        <f t="shared" si="1"/>
        <v/>
      </c>
      <c r="B58" s="20"/>
      <c r="C58" s="9"/>
      <c r="D58" s="9"/>
      <c r="E58" s="9"/>
      <c r="F58" s="9"/>
      <c r="G58" s="9"/>
      <c r="H58" s="9"/>
      <c r="I58" s="9"/>
      <c r="J58" s="9"/>
      <c r="K58" s="9"/>
    </row>
    <row r="59" ht="15.75" customHeight="1">
      <c r="A59" s="6" t="str">
        <f t="shared" si="1"/>
        <v/>
      </c>
      <c r="B59" s="20"/>
      <c r="C59" s="9"/>
      <c r="D59" s="9"/>
      <c r="E59" s="9"/>
      <c r="F59" s="9"/>
      <c r="G59" s="9"/>
      <c r="H59" s="9"/>
      <c r="I59" s="9"/>
      <c r="J59" s="9"/>
      <c r="K59" s="9"/>
    </row>
    <row r="60" ht="15.75" customHeight="1">
      <c r="A60" s="6" t="str">
        <f t="shared" si="1"/>
        <v/>
      </c>
      <c r="B60" s="20"/>
      <c r="C60" s="9"/>
      <c r="D60" s="9"/>
      <c r="E60" s="9"/>
      <c r="F60" s="9"/>
      <c r="G60" s="9"/>
      <c r="H60" s="9"/>
      <c r="I60" s="9"/>
      <c r="J60" s="9"/>
      <c r="K60" s="9"/>
    </row>
    <row r="61" ht="15.75" customHeight="1">
      <c r="A61" s="6" t="str">
        <f t="shared" si="1"/>
        <v/>
      </c>
      <c r="B61" s="20"/>
      <c r="C61" s="9"/>
      <c r="D61" s="9"/>
      <c r="E61" s="9"/>
      <c r="F61" s="9"/>
      <c r="G61" s="9"/>
      <c r="H61" s="9"/>
      <c r="I61" s="9"/>
      <c r="J61" s="9"/>
      <c r="K61" s="9"/>
    </row>
    <row r="62" ht="15.75" customHeight="1">
      <c r="A62" s="6" t="str">
        <f t="shared" si="1"/>
        <v/>
      </c>
      <c r="B62" s="20"/>
      <c r="C62" s="9"/>
      <c r="D62" s="9"/>
      <c r="E62" s="9"/>
      <c r="F62" s="9"/>
      <c r="G62" s="9"/>
      <c r="H62" s="9"/>
      <c r="I62" s="9"/>
      <c r="J62" s="9"/>
      <c r="K62" s="9"/>
    </row>
    <row r="63" ht="15.75" customHeight="1">
      <c r="A63" s="6" t="str">
        <f t="shared" si="1"/>
        <v/>
      </c>
      <c r="B63" s="20"/>
      <c r="C63" s="9"/>
      <c r="D63" s="9"/>
      <c r="E63" s="9"/>
      <c r="F63" s="9"/>
      <c r="G63" s="9"/>
      <c r="H63" s="9"/>
      <c r="I63" s="9"/>
      <c r="J63" s="9"/>
      <c r="K63" s="9"/>
    </row>
    <row r="64" ht="15.75" customHeight="1">
      <c r="A64" s="6" t="str">
        <f t="shared" si="1"/>
        <v/>
      </c>
      <c r="B64" s="20"/>
      <c r="C64" s="9"/>
      <c r="D64" s="9"/>
      <c r="E64" s="9"/>
      <c r="F64" s="9"/>
      <c r="G64" s="9"/>
      <c r="H64" s="9"/>
      <c r="I64" s="9"/>
      <c r="J64" s="9"/>
      <c r="K64" s="9"/>
    </row>
    <row r="65" ht="15.75" customHeight="1">
      <c r="A65" s="6" t="str">
        <f t="shared" si="1"/>
        <v/>
      </c>
      <c r="B65" s="20"/>
      <c r="C65" s="9"/>
      <c r="D65" s="9"/>
      <c r="E65" s="9"/>
      <c r="F65" s="9"/>
      <c r="G65" s="9"/>
      <c r="H65" s="9"/>
      <c r="I65" s="9"/>
      <c r="J65" s="9"/>
      <c r="K65" s="9"/>
    </row>
    <row r="66" ht="15.75" customHeight="1">
      <c r="A66" s="6" t="str">
        <f t="shared" si="1"/>
        <v/>
      </c>
      <c r="B66" s="20"/>
      <c r="C66" s="9"/>
      <c r="D66" s="9"/>
      <c r="E66" s="9"/>
      <c r="F66" s="9"/>
      <c r="G66" s="9"/>
      <c r="H66" s="9"/>
      <c r="I66" s="9"/>
      <c r="J66" s="9"/>
      <c r="K66" s="9"/>
    </row>
    <row r="67" ht="15.75" customHeight="1">
      <c r="A67" s="6" t="str">
        <f t="shared" si="1"/>
        <v/>
      </c>
      <c r="B67" s="20"/>
      <c r="C67" s="9"/>
      <c r="D67" s="9"/>
      <c r="E67" s="9"/>
      <c r="F67" s="9"/>
      <c r="G67" s="9"/>
      <c r="H67" s="9"/>
      <c r="I67" s="9"/>
      <c r="J67" s="9"/>
      <c r="K67" s="9"/>
    </row>
    <row r="68" ht="15.75" customHeight="1">
      <c r="A68" s="6" t="str">
        <f t="shared" si="1"/>
        <v/>
      </c>
      <c r="B68" s="20"/>
      <c r="C68" s="9"/>
      <c r="D68" s="9"/>
      <c r="E68" s="9"/>
      <c r="F68" s="9"/>
      <c r="G68" s="9"/>
      <c r="H68" s="9"/>
      <c r="I68" s="9"/>
      <c r="J68" s="9"/>
      <c r="K68" s="9"/>
    </row>
    <row r="69" ht="15.75" customHeight="1">
      <c r="A69" s="6" t="str">
        <f t="shared" si="1"/>
        <v/>
      </c>
      <c r="B69" s="20"/>
      <c r="C69" s="9"/>
      <c r="D69" s="9"/>
      <c r="E69" s="9"/>
      <c r="F69" s="9"/>
      <c r="G69" s="9"/>
      <c r="H69" s="9"/>
      <c r="I69" s="9"/>
      <c r="J69" s="9"/>
      <c r="K69" s="9"/>
    </row>
    <row r="70" ht="15.75" customHeight="1">
      <c r="A70" s="6" t="str">
        <f t="shared" si="1"/>
        <v/>
      </c>
      <c r="B70" s="20"/>
      <c r="C70" s="9"/>
      <c r="D70" s="9"/>
      <c r="E70" s="9"/>
      <c r="F70" s="9"/>
      <c r="G70" s="9"/>
      <c r="H70" s="9"/>
      <c r="I70" s="9"/>
      <c r="J70" s="9"/>
      <c r="K70" s="9"/>
    </row>
    <row r="71" ht="15.75" customHeight="1">
      <c r="A71" s="6" t="str">
        <f t="shared" si="1"/>
        <v/>
      </c>
      <c r="B71" s="20"/>
      <c r="C71" s="9"/>
      <c r="D71" s="9"/>
      <c r="E71" s="9"/>
      <c r="F71" s="9"/>
      <c r="G71" s="9"/>
      <c r="H71" s="9"/>
      <c r="I71" s="9"/>
      <c r="J71" s="9"/>
      <c r="K71" s="9"/>
    </row>
    <row r="72" ht="15.75" customHeight="1">
      <c r="A72" s="6" t="str">
        <f t="shared" si="1"/>
        <v/>
      </c>
      <c r="B72" s="20"/>
      <c r="C72" s="9"/>
      <c r="D72" s="9"/>
      <c r="E72" s="9"/>
      <c r="F72" s="9"/>
      <c r="G72" s="9"/>
      <c r="H72" s="9"/>
      <c r="I72" s="9"/>
      <c r="J72" s="9"/>
      <c r="K72" s="9"/>
    </row>
    <row r="73" ht="15.75" customHeight="1">
      <c r="A73" s="6" t="str">
        <f t="shared" si="1"/>
        <v/>
      </c>
      <c r="B73" s="20"/>
      <c r="C73" s="9"/>
      <c r="D73" s="9"/>
      <c r="E73" s="9"/>
      <c r="F73" s="9"/>
      <c r="G73" s="9"/>
      <c r="H73" s="9"/>
      <c r="I73" s="9"/>
      <c r="J73" s="9"/>
      <c r="K73" s="9"/>
    </row>
    <row r="74" ht="15.75" customHeight="1">
      <c r="A74" s="6" t="str">
        <f t="shared" si="1"/>
        <v/>
      </c>
      <c r="B74" s="20"/>
      <c r="C74" s="9"/>
      <c r="D74" s="9"/>
      <c r="E74" s="9"/>
      <c r="F74" s="9"/>
      <c r="G74" s="9"/>
      <c r="H74" s="9"/>
      <c r="I74" s="9"/>
      <c r="J74" s="9"/>
      <c r="K74" s="9"/>
    </row>
    <row r="75" ht="15.75" customHeight="1">
      <c r="A75" s="6" t="str">
        <f t="shared" si="1"/>
        <v/>
      </c>
      <c r="B75" s="20"/>
      <c r="C75" s="9"/>
      <c r="D75" s="9"/>
      <c r="E75" s="9"/>
      <c r="F75" s="9"/>
      <c r="G75" s="9"/>
      <c r="H75" s="9"/>
      <c r="I75" s="9"/>
      <c r="J75" s="9"/>
      <c r="K75" s="9"/>
    </row>
    <row r="76" ht="15.75" customHeight="1">
      <c r="A76" s="6" t="str">
        <f t="shared" si="1"/>
        <v/>
      </c>
      <c r="B76" s="20"/>
      <c r="C76" s="9"/>
      <c r="D76" s="9"/>
      <c r="E76" s="9"/>
      <c r="F76" s="9"/>
      <c r="G76" s="9"/>
      <c r="H76" s="9"/>
      <c r="I76" s="9"/>
      <c r="J76" s="9"/>
      <c r="K76" s="9"/>
    </row>
    <row r="77" ht="15.75" customHeight="1">
      <c r="A77" s="6" t="str">
        <f t="shared" si="1"/>
        <v/>
      </c>
      <c r="B77" s="20"/>
      <c r="C77" s="9"/>
      <c r="D77" s="9"/>
      <c r="E77" s="9"/>
      <c r="F77" s="9"/>
      <c r="G77" s="9"/>
      <c r="H77" s="9"/>
      <c r="I77" s="9"/>
      <c r="J77" s="9"/>
      <c r="K77" s="9"/>
    </row>
    <row r="78" ht="15.75" customHeight="1">
      <c r="A78" s="6" t="str">
        <f t="shared" si="1"/>
        <v/>
      </c>
      <c r="B78" s="20"/>
      <c r="C78" s="9"/>
      <c r="D78" s="9"/>
      <c r="E78" s="9"/>
      <c r="F78" s="9"/>
      <c r="G78" s="9"/>
      <c r="H78" s="9"/>
      <c r="I78" s="9"/>
      <c r="J78" s="9"/>
      <c r="K78" s="9"/>
    </row>
    <row r="79" ht="15.75" customHeight="1">
      <c r="A79" s="6" t="str">
        <f t="shared" si="1"/>
        <v/>
      </c>
      <c r="B79" s="20"/>
      <c r="C79" s="9"/>
      <c r="D79" s="9"/>
      <c r="E79" s="9"/>
      <c r="F79" s="9"/>
      <c r="G79" s="9"/>
      <c r="H79" s="9"/>
      <c r="I79" s="9"/>
      <c r="J79" s="9"/>
      <c r="K79" s="9"/>
    </row>
    <row r="80" ht="15.75" customHeight="1">
      <c r="A80" s="6" t="str">
        <f t="shared" si="1"/>
        <v/>
      </c>
      <c r="B80" s="20"/>
      <c r="C80" s="9"/>
      <c r="D80" s="9"/>
      <c r="E80" s="9"/>
      <c r="F80" s="9"/>
      <c r="G80" s="9"/>
      <c r="H80" s="9"/>
      <c r="I80" s="9"/>
      <c r="J80" s="9"/>
      <c r="K80" s="9"/>
    </row>
    <row r="81" ht="15.75" customHeight="1">
      <c r="A81" s="6" t="str">
        <f t="shared" si="1"/>
        <v/>
      </c>
      <c r="B81" s="20"/>
      <c r="C81" s="9"/>
      <c r="D81" s="9"/>
      <c r="E81" s="9"/>
      <c r="F81" s="9"/>
      <c r="G81" s="9"/>
      <c r="H81" s="9"/>
      <c r="I81" s="9"/>
      <c r="J81" s="9"/>
      <c r="K81" s="9"/>
    </row>
    <row r="82" ht="15.75" customHeight="1">
      <c r="A82" s="6" t="str">
        <f t="shared" si="1"/>
        <v/>
      </c>
      <c r="B82" s="20"/>
      <c r="C82" s="9"/>
      <c r="D82" s="9"/>
      <c r="E82" s="9"/>
      <c r="F82" s="9"/>
      <c r="G82" s="9"/>
      <c r="H82" s="9"/>
      <c r="I82" s="9"/>
      <c r="J82" s="9"/>
      <c r="K82" s="9"/>
    </row>
    <row r="83" ht="15.75" customHeight="1">
      <c r="A83" s="6" t="str">
        <f t="shared" si="1"/>
        <v/>
      </c>
      <c r="B83" s="20"/>
      <c r="C83" s="9"/>
      <c r="D83" s="9"/>
      <c r="E83" s="9"/>
      <c r="F83" s="9"/>
      <c r="G83" s="9"/>
      <c r="H83" s="9"/>
      <c r="I83" s="9"/>
      <c r="J83" s="9"/>
      <c r="K83" s="9"/>
    </row>
    <row r="84" ht="15.75" customHeight="1">
      <c r="A84" s="6" t="str">
        <f t="shared" si="1"/>
        <v/>
      </c>
      <c r="B84" s="20"/>
      <c r="C84" s="9"/>
      <c r="D84" s="9"/>
      <c r="E84" s="9"/>
      <c r="F84" s="9"/>
      <c r="G84" s="9"/>
      <c r="H84" s="9"/>
      <c r="I84" s="9"/>
      <c r="J84" s="9"/>
      <c r="K84" s="9"/>
    </row>
    <row r="85" ht="15.75" customHeight="1">
      <c r="A85" s="6" t="str">
        <f t="shared" si="1"/>
        <v/>
      </c>
      <c r="B85" s="20"/>
      <c r="C85" s="9"/>
      <c r="D85" s="9"/>
      <c r="E85" s="9"/>
      <c r="F85" s="9"/>
      <c r="G85" s="9"/>
      <c r="H85" s="9"/>
      <c r="I85" s="9"/>
      <c r="J85" s="9"/>
      <c r="K85" s="9"/>
    </row>
    <row r="86" ht="15.75" customHeight="1">
      <c r="A86" s="6" t="str">
        <f t="shared" si="1"/>
        <v/>
      </c>
      <c r="B86" s="20"/>
      <c r="C86" s="9"/>
      <c r="D86" s="9"/>
      <c r="E86" s="9"/>
      <c r="F86" s="9"/>
      <c r="G86" s="9"/>
      <c r="H86" s="9"/>
      <c r="I86" s="9"/>
      <c r="J86" s="9"/>
      <c r="K86" s="9"/>
    </row>
    <row r="87" ht="15.75" customHeight="1">
      <c r="A87" s="6" t="str">
        <f t="shared" si="1"/>
        <v/>
      </c>
      <c r="B87" s="20"/>
      <c r="C87" s="9"/>
      <c r="D87" s="9"/>
      <c r="E87" s="9"/>
      <c r="F87" s="9"/>
      <c r="G87" s="9"/>
      <c r="H87" s="9"/>
      <c r="I87" s="9"/>
      <c r="J87" s="9"/>
      <c r="K87" s="9"/>
    </row>
    <row r="88" ht="15.75" customHeight="1">
      <c r="A88" s="6" t="str">
        <f t="shared" si="1"/>
        <v/>
      </c>
      <c r="B88" s="20"/>
      <c r="C88" s="9"/>
      <c r="D88" s="9"/>
      <c r="E88" s="9"/>
      <c r="F88" s="9"/>
      <c r="G88" s="9"/>
      <c r="H88" s="9"/>
      <c r="I88" s="9"/>
      <c r="J88" s="9"/>
      <c r="K88" s="9"/>
    </row>
    <row r="89" ht="15.75" customHeight="1">
      <c r="A89" s="6" t="str">
        <f t="shared" si="1"/>
        <v/>
      </c>
      <c r="B89" s="20"/>
      <c r="C89" s="9"/>
      <c r="D89" s="9"/>
      <c r="E89" s="9"/>
      <c r="F89" s="9"/>
      <c r="G89" s="9"/>
      <c r="H89" s="9"/>
      <c r="I89" s="9"/>
      <c r="J89" s="9"/>
      <c r="K89" s="9"/>
    </row>
    <row r="90" ht="15.75" customHeight="1">
      <c r="A90" s="6" t="str">
        <f t="shared" si="1"/>
        <v/>
      </c>
      <c r="B90" s="20"/>
      <c r="C90" s="9"/>
      <c r="D90" s="9"/>
      <c r="E90" s="9"/>
      <c r="F90" s="9"/>
      <c r="G90" s="9"/>
      <c r="H90" s="9"/>
      <c r="I90" s="9"/>
      <c r="J90" s="9"/>
      <c r="K90" s="9"/>
    </row>
    <row r="91" ht="15.75" customHeight="1">
      <c r="A91" s="6" t="str">
        <f t="shared" si="1"/>
        <v/>
      </c>
      <c r="B91" s="20"/>
      <c r="C91" s="9"/>
      <c r="D91" s="9"/>
      <c r="E91" s="9"/>
      <c r="F91" s="9"/>
      <c r="G91" s="9"/>
      <c r="H91" s="9"/>
      <c r="I91" s="9"/>
      <c r="J91" s="9"/>
      <c r="K91" s="9"/>
    </row>
    <row r="92" ht="15.75" customHeight="1">
      <c r="A92" s="6" t="str">
        <f t="shared" si="1"/>
        <v/>
      </c>
      <c r="B92" s="20"/>
      <c r="C92" s="9"/>
      <c r="D92" s="9"/>
      <c r="E92" s="9"/>
      <c r="F92" s="9"/>
      <c r="G92" s="9"/>
      <c r="H92" s="9"/>
      <c r="I92" s="9"/>
      <c r="J92" s="9"/>
      <c r="K92" s="9"/>
    </row>
    <row r="93" ht="15.75" customHeight="1">
      <c r="A93" s="6" t="str">
        <f t="shared" si="1"/>
        <v/>
      </c>
      <c r="B93" s="20"/>
      <c r="C93" s="9"/>
      <c r="D93" s="9"/>
      <c r="E93" s="9"/>
      <c r="F93" s="9"/>
      <c r="G93" s="9"/>
      <c r="H93" s="9"/>
      <c r="I93" s="9"/>
      <c r="J93" s="9"/>
      <c r="K93" s="9"/>
    </row>
    <row r="94" ht="15.75" customHeight="1">
      <c r="A94" s="6" t="str">
        <f t="shared" si="1"/>
        <v/>
      </c>
      <c r="B94" s="20"/>
      <c r="C94" s="9"/>
      <c r="D94" s="9"/>
      <c r="E94" s="9"/>
      <c r="F94" s="9"/>
      <c r="G94" s="9"/>
      <c r="H94" s="9"/>
      <c r="I94" s="9"/>
      <c r="J94" s="9"/>
      <c r="K94" s="9"/>
    </row>
    <row r="95" ht="15.75" customHeight="1">
      <c r="A95" s="6" t="str">
        <f t="shared" si="1"/>
        <v/>
      </c>
      <c r="B95" s="20"/>
      <c r="C95" s="9"/>
      <c r="D95" s="9"/>
      <c r="E95" s="9"/>
      <c r="F95" s="9"/>
      <c r="G95" s="9"/>
      <c r="H95" s="9"/>
      <c r="I95" s="9"/>
      <c r="J95" s="9"/>
      <c r="K95" s="9"/>
    </row>
    <row r="96" ht="15.75" customHeight="1">
      <c r="A96" s="6" t="str">
        <f t="shared" si="1"/>
        <v/>
      </c>
      <c r="B96" s="20"/>
      <c r="C96" s="9"/>
      <c r="D96" s="9"/>
      <c r="E96" s="9"/>
      <c r="F96" s="9"/>
      <c r="G96" s="9"/>
      <c r="H96" s="9"/>
      <c r="I96" s="9"/>
      <c r="J96" s="9"/>
      <c r="K96" s="9"/>
    </row>
    <row r="97" ht="15.75" customHeight="1">
      <c r="A97" s="6" t="str">
        <f t="shared" si="1"/>
        <v/>
      </c>
      <c r="B97" s="20"/>
      <c r="C97" s="9"/>
      <c r="D97" s="9"/>
      <c r="E97" s="9"/>
      <c r="F97" s="9"/>
      <c r="G97" s="9"/>
      <c r="H97" s="9"/>
      <c r="I97" s="9"/>
      <c r="J97" s="9"/>
      <c r="K97" s="9"/>
    </row>
    <row r="98" ht="15.75" customHeight="1">
      <c r="A98" s="6" t="str">
        <f t="shared" si="1"/>
        <v/>
      </c>
      <c r="B98" s="20"/>
      <c r="C98" s="9"/>
      <c r="D98" s="9"/>
      <c r="E98" s="9"/>
      <c r="F98" s="9"/>
      <c r="G98" s="9"/>
      <c r="H98" s="9"/>
      <c r="I98" s="9"/>
      <c r="J98" s="9"/>
      <c r="K98" s="9"/>
    </row>
    <row r="99" ht="15.75" customHeight="1">
      <c r="A99" s="6" t="str">
        <f t="shared" si="1"/>
        <v/>
      </c>
      <c r="B99" s="20"/>
      <c r="C99" s="9"/>
      <c r="D99" s="9"/>
      <c r="E99" s="9"/>
      <c r="F99" s="9"/>
      <c r="G99" s="9"/>
      <c r="H99" s="9"/>
      <c r="I99" s="9"/>
      <c r="J99" s="9"/>
      <c r="K99" s="9"/>
    </row>
    <row r="100" ht="15.75" customHeight="1">
      <c r="A100" s="6" t="str">
        <f t="shared" si="1"/>
        <v/>
      </c>
      <c r="B100" s="20"/>
      <c r="C100" s="9"/>
      <c r="D100" s="9"/>
      <c r="E100" s="9"/>
      <c r="F100" s="9"/>
      <c r="G100" s="9"/>
      <c r="H100" s="9"/>
      <c r="I100" s="9"/>
      <c r="J100" s="9"/>
      <c r="K100" s="9"/>
    </row>
    <row r="101" ht="15.75" customHeight="1">
      <c r="A101" s="6" t="str">
        <f t="shared" si="1"/>
        <v/>
      </c>
      <c r="B101" s="20"/>
      <c r="C101" s="9"/>
      <c r="D101" s="9"/>
      <c r="E101" s="9"/>
      <c r="F101" s="9"/>
      <c r="G101" s="9"/>
      <c r="H101" s="9"/>
      <c r="I101" s="9"/>
      <c r="J101" s="9"/>
      <c r="K101" s="9"/>
    </row>
    <row r="102" ht="15.75" customHeight="1">
      <c r="A102" s="6" t="str">
        <f t="shared" si="1"/>
        <v/>
      </c>
      <c r="B102" s="20"/>
      <c r="C102" s="9"/>
      <c r="D102" s="9"/>
      <c r="E102" s="9"/>
      <c r="F102" s="9"/>
      <c r="G102" s="9"/>
      <c r="H102" s="9"/>
      <c r="I102" s="9"/>
      <c r="J102" s="9"/>
      <c r="K102" s="9"/>
    </row>
    <row r="103" ht="15.75" customHeight="1">
      <c r="A103" s="6" t="str">
        <f t="shared" si="1"/>
        <v/>
      </c>
      <c r="B103" s="20"/>
      <c r="C103" s="9"/>
      <c r="D103" s="9"/>
      <c r="E103" s="9"/>
      <c r="F103" s="9"/>
      <c r="G103" s="9"/>
      <c r="H103" s="9"/>
      <c r="I103" s="9"/>
      <c r="J103" s="9"/>
      <c r="K103" s="9"/>
    </row>
    <row r="104" ht="15.75" customHeight="1">
      <c r="A104" s="6" t="str">
        <f t="shared" si="1"/>
        <v/>
      </c>
      <c r="B104" s="20"/>
      <c r="C104" s="9"/>
      <c r="D104" s="9"/>
      <c r="E104" s="9"/>
      <c r="F104" s="9"/>
      <c r="G104" s="9"/>
      <c r="H104" s="9"/>
      <c r="I104" s="9"/>
      <c r="J104" s="9"/>
      <c r="K104" s="9"/>
    </row>
    <row r="105" ht="15.75" customHeight="1">
      <c r="A105" s="6" t="str">
        <f t="shared" si="1"/>
        <v/>
      </c>
      <c r="B105" s="20"/>
      <c r="C105" s="9"/>
      <c r="D105" s="9"/>
      <c r="E105" s="9"/>
      <c r="F105" s="9"/>
      <c r="G105" s="9"/>
      <c r="H105" s="9"/>
      <c r="I105" s="9"/>
      <c r="J105" s="9"/>
      <c r="K105" s="9"/>
    </row>
    <row r="106" ht="15.75" customHeight="1">
      <c r="A106" s="6" t="str">
        <f t="shared" si="1"/>
        <v/>
      </c>
      <c r="B106" s="20"/>
      <c r="C106" s="9"/>
      <c r="D106" s="9"/>
      <c r="E106" s="9"/>
      <c r="F106" s="9"/>
      <c r="G106" s="9"/>
      <c r="H106" s="9"/>
      <c r="I106" s="9"/>
      <c r="J106" s="9"/>
      <c r="K106" s="9"/>
    </row>
    <row r="107" ht="15.75" customHeight="1">
      <c r="A107" s="6" t="str">
        <f t="shared" si="1"/>
        <v/>
      </c>
      <c r="B107" s="20"/>
      <c r="C107" s="9"/>
      <c r="D107" s="9"/>
      <c r="E107" s="9"/>
      <c r="F107" s="9"/>
      <c r="G107" s="9"/>
      <c r="H107" s="9"/>
      <c r="I107" s="9"/>
      <c r="J107" s="9"/>
      <c r="K107" s="9"/>
    </row>
    <row r="108" ht="15.75" customHeight="1">
      <c r="A108" s="6" t="str">
        <f t="shared" si="1"/>
        <v/>
      </c>
      <c r="B108" s="20"/>
      <c r="C108" s="9"/>
      <c r="D108" s="9"/>
      <c r="E108" s="9"/>
      <c r="F108" s="9"/>
      <c r="G108" s="9"/>
      <c r="H108" s="9"/>
      <c r="I108" s="9"/>
      <c r="J108" s="9"/>
      <c r="K108" s="9"/>
    </row>
    <row r="109" ht="15.75" customHeight="1">
      <c r="A109" s="6" t="str">
        <f t="shared" si="1"/>
        <v/>
      </c>
      <c r="B109" s="20"/>
      <c r="C109" s="9"/>
      <c r="D109" s="9"/>
      <c r="E109" s="9"/>
      <c r="F109" s="9"/>
      <c r="G109" s="9"/>
      <c r="H109" s="9"/>
      <c r="I109" s="9"/>
      <c r="J109" s="9"/>
      <c r="K109" s="9"/>
    </row>
    <row r="110" ht="15.75" customHeight="1">
      <c r="A110" s="6" t="str">
        <f t="shared" si="1"/>
        <v/>
      </c>
      <c r="B110" s="20"/>
      <c r="C110" s="9"/>
      <c r="D110" s="9"/>
      <c r="E110" s="9"/>
      <c r="F110" s="9"/>
      <c r="G110" s="9"/>
      <c r="H110" s="9"/>
      <c r="I110" s="9"/>
      <c r="J110" s="9"/>
      <c r="K110" s="9"/>
    </row>
    <row r="111" ht="15.75" customHeight="1">
      <c r="A111" s="6" t="str">
        <f t="shared" si="1"/>
        <v/>
      </c>
      <c r="B111" s="20"/>
      <c r="C111" s="9"/>
      <c r="D111" s="9"/>
      <c r="E111" s="9"/>
      <c r="F111" s="9"/>
      <c r="G111" s="9"/>
      <c r="H111" s="9"/>
      <c r="I111" s="9"/>
      <c r="J111" s="9"/>
      <c r="K111" s="9"/>
    </row>
    <row r="112" ht="15.75" customHeight="1">
      <c r="A112" s="6" t="str">
        <f t="shared" si="1"/>
        <v/>
      </c>
      <c r="B112" s="20"/>
      <c r="C112" s="9"/>
      <c r="D112" s="9"/>
      <c r="E112" s="9"/>
      <c r="F112" s="9"/>
      <c r="G112" s="9"/>
      <c r="H112" s="9"/>
      <c r="I112" s="9"/>
      <c r="J112" s="9"/>
      <c r="K112" s="9"/>
    </row>
    <row r="113" ht="15.75" customHeight="1">
      <c r="A113" s="6" t="str">
        <f t="shared" si="1"/>
        <v/>
      </c>
      <c r="B113" s="20"/>
      <c r="C113" s="9"/>
      <c r="D113" s="9"/>
      <c r="E113" s="9"/>
      <c r="F113" s="9"/>
      <c r="G113" s="9"/>
      <c r="H113" s="9"/>
      <c r="I113" s="9"/>
      <c r="J113" s="9"/>
      <c r="K113" s="9"/>
    </row>
    <row r="114" ht="15.75" customHeight="1">
      <c r="A114" s="6" t="str">
        <f t="shared" si="1"/>
        <v/>
      </c>
      <c r="B114" s="20"/>
      <c r="C114" s="9"/>
      <c r="D114" s="9"/>
      <c r="E114" s="9"/>
      <c r="F114" s="9"/>
      <c r="G114" s="9"/>
      <c r="H114" s="9"/>
      <c r="I114" s="9"/>
      <c r="J114" s="9"/>
      <c r="K114" s="9"/>
    </row>
    <row r="115" ht="15.75" customHeight="1">
      <c r="A115" s="6" t="str">
        <f t="shared" si="1"/>
        <v/>
      </c>
      <c r="B115" s="20"/>
      <c r="C115" s="9"/>
      <c r="D115" s="9"/>
      <c r="E115" s="9"/>
      <c r="F115" s="9"/>
      <c r="G115" s="9"/>
      <c r="H115" s="9"/>
      <c r="I115" s="9"/>
      <c r="J115" s="9"/>
      <c r="K115" s="9"/>
    </row>
    <row r="116" ht="15.75" customHeight="1">
      <c r="A116" s="6" t="str">
        <f t="shared" si="1"/>
        <v/>
      </c>
      <c r="B116" s="20"/>
      <c r="C116" s="9"/>
      <c r="D116" s="9"/>
      <c r="E116" s="9"/>
      <c r="F116" s="9"/>
      <c r="G116" s="9"/>
      <c r="H116" s="9"/>
      <c r="I116" s="9"/>
      <c r="J116" s="9"/>
      <c r="K116" s="9"/>
    </row>
    <row r="117" ht="15.75" customHeight="1">
      <c r="A117" s="6" t="str">
        <f t="shared" si="1"/>
        <v/>
      </c>
      <c r="B117" s="20"/>
      <c r="C117" s="9"/>
      <c r="D117" s="9"/>
      <c r="E117" s="9"/>
      <c r="F117" s="9"/>
      <c r="G117" s="9"/>
      <c r="H117" s="9"/>
      <c r="I117" s="9"/>
      <c r="J117" s="9"/>
      <c r="K117" s="9"/>
    </row>
    <row r="118" ht="15.75" customHeight="1">
      <c r="A118" s="6" t="str">
        <f t="shared" si="1"/>
        <v/>
      </c>
      <c r="B118" s="20"/>
      <c r="C118" s="9"/>
      <c r="D118" s="9"/>
      <c r="E118" s="9"/>
      <c r="F118" s="9"/>
      <c r="G118" s="9"/>
      <c r="H118" s="9"/>
      <c r="I118" s="9"/>
      <c r="J118" s="9"/>
      <c r="K118" s="9"/>
    </row>
    <row r="119" ht="15.75" customHeight="1">
      <c r="A119" s="6" t="str">
        <f t="shared" si="1"/>
        <v/>
      </c>
      <c r="B119" s="20"/>
      <c r="C119" s="9"/>
      <c r="D119" s="9"/>
      <c r="E119" s="9"/>
      <c r="F119" s="9"/>
      <c r="G119" s="9"/>
      <c r="H119" s="9"/>
      <c r="I119" s="9"/>
      <c r="J119" s="9"/>
      <c r="K119" s="9"/>
    </row>
    <row r="120" ht="15.75" customHeight="1">
      <c r="A120" s="6" t="str">
        <f t="shared" si="1"/>
        <v/>
      </c>
      <c r="B120" s="20"/>
      <c r="C120" s="9"/>
      <c r="D120" s="9"/>
      <c r="E120" s="9"/>
      <c r="F120" s="9"/>
      <c r="G120" s="9"/>
      <c r="H120" s="9"/>
      <c r="I120" s="9"/>
      <c r="J120" s="9"/>
      <c r="K120" s="9"/>
    </row>
    <row r="121" ht="15.75" customHeight="1">
      <c r="A121" s="6" t="str">
        <f t="shared" si="1"/>
        <v/>
      </c>
      <c r="B121" s="20"/>
      <c r="C121" s="9"/>
      <c r="D121" s="9"/>
      <c r="E121" s="9"/>
      <c r="F121" s="9"/>
      <c r="G121" s="9"/>
      <c r="H121" s="9"/>
      <c r="I121" s="9"/>
      <c r="J121" s="9"/>
      <c r="K121" s="9"/>
    </row>
    <row r="122" ht="15.75" customHeight="1">
      <c r="A122" s="6" t="str">
        <f t="shared" si="1"/>
        <v/>
      </c>
      <c r="B122" s="20"/>
      <c r="C122" s="9"/>
      <c r="D122" s="9"/>
      <c r="E122" s="9"/>
      <c r="F122" s="9"/>
      <c r="G122" s="9"/>
      <c r="H122" s="9"/>
      <c r="I122" s="9"/>
      <c r="J122" s="9"/>
      <c r="K122" s="9"/>
    </row>
    <row r="123" ht="15.75" customHeight="1">
      <c r="A123" s="6" t="str">
        <f t="shared" si="1"/>
        <v/>
      </c>
      <c r="B123" s="20"/>
      <c r="C123" s="9"/>
      <c r="D123" s="9"/>
      <c r="E123" s="9"/>
      <c r="F123" s="9"/>
      <c r="G123" s="9"/>
      <c r="H123" s="9"/>
      <c r="I123" s="9"/>
      <c r="J123" s="9"/>
      <c r="K123" s="9"/>
    </row>
    <row r="124" ht="15.75" customHeight="1">
      <c r="A124" s="6" t="str">
        <f t="shared" si="1"/>
        <v/>
      </c>
      <c r="B124" s="20"/>
      <c r="C124" s="9"/>
      <c r="D124" s="9"/>
      <c r="E124" s="9"/>
      <c r="F124" s="9"/>
      <c r="G124" s="9"/>
      <c r="H124" s="9"/>
      <c r="I124" s="9"/>
      <c r="J124" s="9"/>
      <c r="K124" s="9"/>
    </row>
    <row r="125" ht="15.75" customHeight="1">
      <c r="A125" s="6" t="str">
        <f t="shared" si="1"/>
        <v/>
      </c>
      <c r="B125" s="20"/>
      <c r="C125" s="9"/>
      <c r="D125" s="9"/>
      <c r="E125" s="9"/>
      <c r="F125" s="9"/>
      <c r="G125" s="9"/>
      <c r="H125" s="9"/>
      <c r="I125" s="9"/>
      <c r="J125" s="9"/>
      <c r="K125" s="9"/>
    </row>
    <row r="126" ht="15.75" customHeight="1">
      <c r="A126" s="6" t="str">
        <f t="shared" si="1"/>
        <v/>
      </c>
      <c r="B126" s="20"/>
      <c r="C126" s="9"/>
      <c r="D126" s="9"/>
      <c r="E126" s="9"/>
      <c r="F126" s="9"/>
      <c r="G126" s="9"/>
      <c r="H126" s="9"/>
      <c r="I126" s="9"/>
      <c r="J126" s="9"/>
      <c r="K126" s="9"/>
    </row>
    <row r="127" ht="15.75" customHeight="1">
      <c r="A127" s="6" t="str">
        <f t="shared" si="1"/>
        <v/>
      </c>
      <c r="B127" s="20"/>
      <c r="C127" s="9"/>
      <c r="D127" s="9"/>
      <c r="E127" s="9"/>
      <c r="F127" s="9"/>
      <c r="G127" s="9"/>
      <c r="H127" s="9"/>
      <c r="I127" s="9"/>
      <c r="J127" s="9"/>
      <c r="K127" s="9"/>
    </row>
    <row r="128" ht="15.75" customHeight="1">
      <c r="A128" s="6" t="str">
        <f t="shared" si="1"/>
        <v/>
      </c>
      <c r="B128" s="20"/>
      <c r="C128" s="9"/>
      <c r="D128" s="9"/>
      <c r="E128" s="9"/>
      <c r="F128" s="9"/>
      <c r="G128" s="9"/>
      <c r="H128" s="9"/>
      <c r="I128" s="9"/>
      <c r="J128" s="9"/>
      <c r="K128" s="9"/>
    </row>
    <row r="129" ht="15.75" customHeight="1">
      <c r="A129" s="6" t="str">
        <f t="shared" si="1"/>
        <v/>
      </c>
      <c r="B129" s="20"/>
      <c r="C129" s="9"/>
      <c r="D129" s="9"/>
      <c r="E129" s="9"/>
      <c r="F129" s="9"/>
      <c r="G129" s="9"/>
      <c r="H129" s="9"/>
      <c r="I129" s="9"/>
      <c r="J129" s="9"/>
      <c r="K129" s="9"/>
    </row>
    <row r="130" ht="15.75" customHeight="1">
      <c r="A130" s="6" t="str">
        <f t="shared" si="1"/>
        <v/>
      </c>
      <c r="B130" s="20"/>
      <c r="C130" s="9"/>
      <c r="D130" s="9"/>
      <c r="E130" s="9"/>
      <c r="F130" s="9"/>
      <c r="G130" s="9"/>
      <c r="H130" s="9"/>
      <c r="I130" s="9"/>
      <c r="J130" s="9"/>
      <c r="K130" s="9"/>
    </row>
    <row r="131" ht="15.75" customHeight="1">
      <c r="A131" s="6" t="str">
        <f t="shared" si="1"/>
        <v/>
      </c>
      <c r="B131" s="20"/>
      <c r="C131" s="9"/>
      <c r="D131" s="9"/>
      <c r="E131" s="9"/>
      <c r="F131" s="9"/>
      <c r="G131" s="9"/>
      <c r="H131" s="9"/>
      <c r="I131" s="9"/>
      <c r="J131" s="9"/>
      <c r="K131" s="9"/>
    </row>
    <row r="132" ht="15.75" customHeight="1">
      <c r="A132" s="6" t="str">
        <f t="shared" si="1"/>
        <v/>
      </c>
      <c r="B132" s="20"/>
      <c r="C132" s="9"/>
      <c r="D132" s="9"/>
      <c r="E132" s="9"/>
      <c r="F132" s="9"/>
      <c r="G132" s="9"/>
      <c r="H132" s="9"/>
      <c r="I132" s="9"/>
      <c r="J132" s="9"/>
      <c r="K132" s="9"/>
    </row>
    <row r="133" ht="15.75" customHeight="1">
      <c r="A133" s="6" t="str">
        <f t="shared" si="1"/>
        <v/>
      </c>
      <c r="B133" s="20"/>
      <c r="C133" s="9"/>
      <c r="D133" s="9"/>
      <c r="E133" s="9"/>
      <c r="F133" s="9"/>
      <c r="G133" s="9"/>
      <c r="H133" s="9"/>
      <c r="I133" s="9"/>
      <c r="J133" s="9"/>
      <c r="K133" s="9"/>
    </row>
    <row r="134" ht="15.75" customHeight="1">
      <c r="A134" s="6" t="str">
        <f t="shared" si="1"/>
        <v/>
      </c>
      <c r="B134" s="20"/>
      <c r="C134" s="9"/>
      <c r="D134" s="9"/>
      <c r="E134" s="9"/>
      <c r="F134" s="9"/>
      <c r="G134" s="9"/>
      <c r="H134" s="9"/>
      <c r="I134" s="9"/>
      <c r="J134" s="9"/>
      <c r="K134" s="9"/>
    </row>
    <row r="135" ht="15.75" customHeight="1">
      <c r="A135" s="6" t="str">
        <f t="shared" si="1"/>
        <v/>
      </c>
      <c r="B135" s="20"/>
      <c r="C135" s="9"/>
      <c r="D135" s="9"/>
      <c r="E135" s="9"/>
      <c r="F135" s="9"/>
      <c r="G135" s="9"/>
      <c r="H135" s="9"/>
      <c r="I135" s="9"/>
      <c r="J135" s="9"/>
      <c r="K135" s="9"/>
    </row>
    <row r="136" ht="15.75" customHeight="1">
      <c r="A136" s="6" t="str">
        <f t="shared" si="1"/>
        <v/>
      </c>
      <c r="B136" s="20"/>
      <c r="C136" s="9"/>
      <c r="D136" s="9"/>
      <c r="E136" s="9"/>
      <c r="F136" s="9"/>
      <c r="G136" s="9"/>
      <c r="H136" s="9"/>
      <c r="I136" s="9"/>
      <c r="J136" s="9"/>
      <c r="K136" s="9"/>
    </row>
    <row r="137" ht="15.75" customHeight="1">
      <c r="A137" s="6" t="str">
        <f t="shared" si="1"/>
        <v/>
      </c>
      <c r="B137" s="20"/>
      <c r="C137" s="9"/>
      <c r="D137" s="9"/>
      <c r="E137" s="9"/>
      <c r="F137" s="9"/>
      <c r="G137" s="9"/>
      <c r="H137" s="9"/>
      <c r="I137" s="9"/>
      <c r="J137" s="9"/>
      <c r="K137" s="9"/>
    </row>
    <row r="138" ht="15.75" customHeight="1">
      <c r="A138" s="6" t="str">
        <f t="shared" si="1"/>
        <v/>
      </c>
      <c r="B138" s="20"/>
      <c r="C138" s="9"/>
      <c r="D138" s="9"/>
      <c r="E138" s="9"/>
      <c r="F138" s="9"/>
      <c r="G138" s="9"/>
      <c r="H138" s="9"/>
      <c r="I138" s="9"/>
      <c r="J138" s="9"/>
      <c r="K138" s="9"/>
    </row>
    <row r="139" ht="15.75" customHeight="1">
      <c r="A139" s="6" t="str">
        <f t="shared" si="1"/>
        <v/>
      </c>
      <c r="B139" s="20"/>
      <c r="C139" s="9"/>
      <c r="D139" s="9"/>
      <c r="E139" s="9"/>
      <c r="F139" s="9"/>
      <c r="G139" s="9"/>
      <c r="H139" s="9"/>
      <c r="I139" s="9"/>
      <c r="J139" s="9"/>
      <c r="K139" s="9"/>
    </row>
    <row r="140" ht="15.75" customHeight="1">
      <c r="A140" s="6" t="str">
        <f t="shared" si="1"/>
        <v/>
      </c>
      <c r="B140" s="20"/>
      <c r="C140" s="9"/>
      <c r="D140" s="9"/>
      <c r="E140" s="9"/>
      <c r="F140" s="9"/>
      <c r="G140" s="9"/>
      <c r="H140" s="9"/>
      <c r="I140" s="9"/>
      <c r="J140" s="9"/>
      <c r="K140" s="9"/>
    </row>
    <row r="141" ht="15.75" customHeight="1">
      <c r="A141" s="6" t="str">
        <f t="shared" si="1"/>
        <v/>
      </c>
      <c r="B141" s="20"/>
      <c r="C141" s="9"/>
      <c r="D141" s="9"/>
      <c r="E141" s="9"/>
      <c r="F141" s="9"/>
      <c r="G141" s="9"/>
      <c r="H141" s="9"/>
      <c r="I141" s="9"/>
      <c r="J141" s="9"/>
      <c r="K141" s="9"/>
    </row>
    <row r="142" ht="15.75" customHeight="1">
      <c r="A142" s="6" t="str">
        <f t="shared" si="1"/>
        <v/>
      </c>
      <c r="B142" s="20"/>
      <c r="C142" s="9"/>
      <c r="D142" s="9"/>
      <c r="E142" s="9"/>
      <c r="F142" s="9"/>
      <c r="G142" s="9"/>
      <c r="H142" s="9"/>
      <c r="I142" s="9"/>
      <c r="J142" s="9"/>
      <c r="K142" s="9"/>
    </row>
    <row r="143" ht="15.75" customHeight="1">
      <c r="A143" s="6" t="str">
        <f t="shared" si="1"/>
        <v/>
      </c>
      <c r="B143" s="20"/>
      <c r="C143" s="9"/>
      <c r="D143" s="9"/>
      <c r="E143" s="9"/>
      <c r="F143" s="9"/>
      <c r="G143" s="9"/>
      <c r="H143" s="9"/>
      <c r="I143" s="9"/>
      <c r="J143" s="9"/>
      <c r="K143" s="9"/>
    </row>
    <row r="144" ht="15.75" customHeight="1">
      <c r="A144" s="6" t="str">
        <f t="shared" si="1"/>
        <v/>
      </c>
      <c r="B144" s="20"/>
      <c r="C144" s="9"/>
      <c r="D144" s="9"/>
      <c r="E144" s="9"/>
      <c r="F144" s="9"/>
      <c r="G144" s="9"/>
      <c r="H144" s="9"/>
      <c r="I144" s="9"/>
      <c r="J144" s="9"/>
      <c r="K144" s="9"/>
    </row>
    <row r="145" ht="15.75" customHeight="1">
      <c r="A145" s="6" t="str">
        <f t="shared" si="1"/>
        <v/>
      </c>
      <c r="B145" s="20"/>
      <c r="C145" s="9"/>
      <c r="D145" s="9"/>
      <c r="E145" s="9"/>
      <c r="F145" s="9"/>
      <c r="G145" s="9"/>
      <c r="H145" s="9"/>
      <c r="I145" s="9"/>
      <c r="J145" s="9"/>
      <c r="K145" s="9"/>
    </row>
    <row r="146" ht="15.75" customHeight="1">
      <c r="A146" s="6" t="str">
        <f t="shared" si="1"/>
        <v/>
      </c>
      <c r="B146" s="20"/>
      <c r="C146" s="9"/>
      <c r="D146" s="9"/>
      <c r="E146" s="9"/>
      <c r="F146" s="9"/>
      <c r="G146" s="9"/>
      <c r="H146" s="9"/>
      <c r="I146" s="9"/>
      <c r="J146" s="9"/>
      <c r="K146" s="9"/>
    </row>
    <row r="147" ht="15.75" customHeight="1">
      <c r="A147" s="6" t="str">
        <f t="shared" si="1"/>
        <v/>
      </c>
      <c r="B147" s="20"/>
      <c r="C147" s="9"/>
      <c r="D147" s="9"/>
      <c r="E147" s="9"/>
      <c r="F147" s="9"/>
      <c r="G147" s="9"/>
      <c r="H147" s="9"/>
      <c r="I147" s="9"/>
      <c r="J147" s="9"/>
      <c r="K147" s="9"/>
    </row>
    <row r="148" ht="15.75" customHeight="1">
      <c r="A148" s="6" t="str">
        <f t="shared" si="1"/>
        <v/>
      </c>
      <c r="B148" s="20"/>
      <c r="C148" s="9"/>
      <c r="D148" s="9"/>
      <c r="E148" s="9"/>
      <c r="F148" s="9"/>
      <c r="G148" s="9"/>
      <c r="H148" s="9"/>
      <c r="I148" s="9"/>
      <c r="J148" s="9"/>
      <c r="K148" s="9"/>
    </row>
    <row r="149" ht="15.75" customHeight="1">
      <c r="A149" s="6" t="str">
        <f t="shared" si="1"/>
        <v/>
      </c>
      <c r="B149" s="20"/>
      <c r="C149" s="9"/>
      <c r="D149" s="9"/>
      <c r="E149" s="9"/>
      <c r="F149" s="9"/>
      <c r="G149" s="9"/>
      <c r="H149" s="9"/>
      <c r="I149" s="9"/>
      <c r="J149" s="9"/>
      <c r="K149" s="9"/>
    </row>
    <row r="150" ht="15.75" customHeight="1">
      <c r="A150" s="6" t="str">
        <f t="shared" si="1"/>
        <v/>
      </c>
      <c r="B150" s="20"/>
      <c r="C150" s="9"/>
      <c r="D150" s="9"/>
      <c r="E150" s="9"/>
      <c r="F150" s="9"/>
      <c r="G150" s="9"/>
      <c r="H150" s="9"/>
      <c r="I150" s="9"/>
      <c r="J150" s="9"/>
      <c r="K150" s="9"/>
    </row>
    <row r="151" ht="15.75" customHeight="1">
      <c r="A151" s="6" t="str">
        <f t="shared" si="1"/>
        <v/>
      </c>
      <c r="B151" s="20"/>
      <c r="C151" s="9"/>
      <c r="D151" s="9"/>
      <c r="E151" s="9"/>
      <c r="F151" s="9"/>
      <c r="G151" s="9"/>
      <c r="H151" s="9"/>
      <c r="I151" s="9"/>
      <c r="J151" s="9"/>
      <c r="K151" s="9"/>
    </row>
    <row r="152" ht="15.75" customHeight="1">
      <c r="A152" s="6" t="str">
        <f t="shared" si="1"/>
        <v/>
      </c>
      <c r="B152" s="20"/>
      <c r="C152" s="9"/>
      <c r="D152" s="9"/>
      <c r="E152" s="9"/>
      <c r="F152" s="9"/>
      <c r="G152" s="9"/>
      <c r="H152" s="9"/>
      <c r="I152" s="9"/>
      <c r="J152" s="9"/>
      <c r="K152" s="9"/>
    </row>
    <row r="153" ht="15.75" customHeight="1">
      <c r="A153" s="6" t="str">
        <f t="shared" si="1"/>
        <v/>
      </c>
      <c r="B153" s="20"/>
      <c r="C153" s="9"/>
      <c r="D153" s="9"/>
      <c r="E153" s="9"/>
      <c r="F153" s="9"/>
      <c r="G153" s="9"/>
      <c r="H153" s="9"/>
      <c r="I153" s="9"/>
      <c r="J153" s="9"/>
      <c r="K153" s="9"/>
    </row>
    <row r="154" ht="15.75" customHeight="1">
      <c r="A154" s="6" t="str">
        <f t="shared" si="1"/>
        <v/>
      </c>
      <c r="B154" s="20"/>
      <c r="C154" s="9"/>
      <c r="D154" s="9"/>
      <c r="E154" s="9"/>
      <c r="F154" s="9"/>
      <c r="G154" s="9"/>
      <c r="H154" s="9"/>
      <c r="I154" s="9"/>
      <c r="J154" s="9"/>
      <c r="K154" s="9"/>
    </row>
    <row r="155" ht="15.75" customHeight="1">
      <c r="A155" s="6" t="str">
        <f t="shared" si="1"/>
        <v/>
      </c>
      <c r="B155" s="20"/>
      <c r="C155" s="9"/>
      <c r="D155" s="9"/>
      <c r="E155" s="9"/>
      <c r="F155" s="9"/>
      <c r="G155" s="9"/>
      <c r="H155" s="9"/>
      <c r="I155" s="9"/>
      <c r="J155" s="9"/>
      <c r="K155" s="9"/>
    </row>
    <row r="156" ht="15.75" customHeight="1">
      <c r="A156" s="6" t="str">
        <f t="shared" si="1"/>
        <v/>
      </c>
      <c r="B156" s="20"/>
      <c r="C156" s="9"/>
      <c r="D156" s="9"/>
      <c r="E156" s="9"/>
      <c r="F156" s="9"/>
      <c r="G156" s="9"/>
      <c r="H156" s="9"/>
      <c r="I156" s="9"/>
      <c r="J156" s="9"/>
      <c r="K156" s="9"/>
    </row>
    <row r="157" ht="15.75" customHeight="1">
      <c r="A157" s="6" t="str">
        <f t="shared" si="1"/>
        <v/>
      </c>
      <c r="B157" s="20"/>
      <c r="C157" s="9"/>
      <c r="D157" s="9"/>
      <c r="E157" s="9"/>
      <c r="F157" s="9"/>
      <c r="G157" s="9"/>
      <c r="H157" s="9"/>
      <c r="I157" s="9"/>
      <c r="J157" s="9"/>
      <c r="K157" s="9"/>
    </row>
    <row r="158" ht="15.75" customHeight="1">
      <c r="A158" s="6" t="str">
        <f t="shared" si="1"/>
        <v/>
      </c>
      <c r="B158" s="20"/>
      <c r="C158" s="9"/>
      <c r="D158" s="9"/>
      <c r="E158" s="9"/>
      <c r="F158" s="9"/>
      <c r="G158" s="9"/>
      <c r="H158" s="9"/>
      <c r="I158" s="9"/>
      <c r="J158" s="9"/>
      <c r="K158" s="9"/>
    </row>
    <row r="159" ht="15.75" customHeight="1">
      <c r="A159" s="6" t="str">
        <f t="shared" si="1"/>
        <v/>
      </c>
      <c r="B159" s="20"/>
      <c r="C159" s="9"/>
      <c r="D159" s="9"/>
      <c r="E159" s="9"/>
      <c r="F159" s="9"/>
      <c r="G159" s="9"/>
      <c r="H159" s="9"/>
      <c r="I159" s="9"/>
      <c r="J159" s="9"/>
      <c r="K159" s="9"/>
    </row>
    <row r="160" ht="15.75" customHeight="1">
      <c r="A160" s="6" t="str">
        <f t="shared" si="1"/>
        <v/>
      </c>
      <c r="B160" s="20"/>
      <c r="C160" s="9"/>
      <c r="D160" s="9"/>
      <c r="E160" s="9"/>
      <c r="F160" s="9"/>
      <c r="G160" s="9"/>
      <c r="H160" s="9"/>
      <c r="I160" s="9"/>
      <c r="J160" s="9"/>
      <c r="K160" s="9"/>
    </row>
    <row r="161" ht="15.75" customHeight="1">
      <c r="A161" s="6" t="str">
        <f t="shared" si="1"/>
        <v/>
      </c>
      <c r="B161" s="20"/>
      <c r="C161" s="9"/>
      <c r="D161" s="9"/>
      <c r="E161" s="9"/>
      <c r="F161" s="9"/>
      <c r="G161" s="9"/>
      <c r="H161" s="9"/>
      <c r="I161" s="9"/>
      <c r="J161" s="9"/>
      <c r="K161" s="9"/>
    </row>
    <row r="162" ht="15.75" customHeight="1">
      <c r="A162" s="6" t="str">
        <f t="shared" si="1"/>
        <v/>
      </c>
      <c r="B162" s="20"/>
      <c r="C162" s="9"/>
      <c r="D162" s="9"/>
      <c r="E162" s="9"/>
      <c r="F162" s="9"/>
      <c r="G162" s="9"/>
      <c r="H162" s="9"/>
      <c r="I162" s="9"/>
      <c r="J162" s="9"/>
      <c r="K162" s="9"/>
    </row>
    <row r="163" ht="15.75" customHeight="1">
      <c r="A163" s="6" t="str">
        <f t="shared" si="1"/>
        <v/>
      </c>
      <c r="B163" s="20"/>
      <c r="C163" s="9"/>
      <c r="D163" s="9"/>
      <c r="E163" s="9"/>
      <c r="F163" s="9"/>
      <c r="G163" s="9"/>
      <c r="H163" s="9"/>
      <c r="I163" s="9"/>
      <c r="J163" s="9"/>
      <c r="K163" s="9"/>
    </row>
    <row r="164" ht="15.75" customHeight="1">
      <c r="A164" s="6" t="str">
        <f t="shared" si="1"/>
        <v/>
      </c>
      <c r="B164" s="20"/>
      <c r="C164" s="9"/>
      <c r="D164" s="9"/>
      <c r="E164" s="9"/>
      <c r="F164" s="9"/>
      <c r="G164" s="9"/>
      <c r="H164" s="9"/>
      <c r="I164" s="9"/>
      <c r="J164" s="9"/>
      <c r="K164" s="9"/>
    </row>
    <row r="165" ht="15.75" customHeight="1">
      <c r="A165" s="6" t="str">
        <f t="shared" si="1"/>
        <v/>
      </c>
      <c r="B165" s="20"/>
      <c r="C165" s="9"/>
      <c r="D165" s="9"/>
      <c r="E165" s="9"/>
      <c r="F165" s="9"/>
      <c r="G165" s="9"/>
      <c r="H165" s="9"/>
      <c r="I165" s="9"/>
      <c r="J165" s="9"/>
      <c r="K165" s="9"/>
    </row>
    <row r="166" ht="15.75" customHeight="1">
      <c r="A166" s="6" t="str">
        <f t="shared" si="1"/>
        <v/>
      </c>
      <c r="B166" s="20"/>
      <c r="C166" s="9"/>
      <c r="D166" s="9"/>
      <c r="E166" s="9"/>
      <c r="F166" s="9"/>
      <c r="G166" s="9"/>
      <c r="H166" s="9"/>
      <c r="I166" s="9"/>
      <c r="J166" s="9"/>
      <c r="K166" s="9"/>
    </row>
    <row r="167" ht="15.75" customHeight="1">
      <c r="A167" s="6" t="str">
        <f t="shared" si="1"/>
        <v/>
      </c>
      <c r="B167" s="20"/>
      <c r="C167" s="9"/>
      <c r="D167" s="9"/>
      <c r="E167" s="9"/>
      <c r="F167" s="9"/>
      <c r="G167" s="9"/>
      <c r="H167" s="9"/>
      <c r="I167" s="9"/>
      <c r="J167" s="9"/>
      <c r="K167" s="9"/>
    </row>
    <row r="168" ht="15.75" customHeight="1">
      <c r="A168" s="6" t="str">
        <f t="shared" si="1"/>
        <v/>
      </c>
      <c r="B168" s="20"/>
      <c r="C168" s="9"/>
      <c r="D168" s="9"/>
      <c r="E168" s="9"/>
      <c r="F168" s="9"/>
      <c r="G168" s="9"/>
      <c r="H168" s="9"/>
      <c r="I168" s="9"/>
      <c r="J168" s="9"/>
      <c r="K168" s="9"/>
    </row>
    <row r="169" ht="15.75" customHeight="1">
      <c r="A169" s="6" t="str">
        <f t="shared" si="1"/>
        <v/>
      </c>
      <c r="B169" s="20"/>
      <c r="C169" s="9"/>
      <c r="D169" s="9"/>
      <c r="E169" s="9"/>
      <c r="F169" s="9"/>
      <c r="G169" s="9"/>
      <c r="H169" s="9"/>
      <c r="I169" s="9"/>
      <c r="J169" s="9"/>
      <c r="K169" s="9"/>
    </row>
    <row r="170" ht="15.75" customHeight="1">
      <c r="A170" s="6" t="str">
        <f t="shared" si="1"/>
        <v/>
      </c>
      <c r="B170" s="20"/>
      <c r="C170" s="9"/>
      <c r="D170" s="9"/>
      <c r="E170" s="9"/>
      <c r="F170" s="9"/>
      <c r="G170" s="9"/>
      <c r="H170" s="9"/>
      <c r="I170" s="9"/>
      <c r="J170" s="9"/>
      <c r="K170" s="9"/>
    </row>
    <row r="171" ht="15.75" customHeight="1">
      <c r="A171" s="6" t="str">
        <f t="shared" si="1"/>
        <v/>
      </c>
      <c r="B171" s="20"/>
      <c r="C171" s="9"/>
      <c r="D171" s="9"/>
      <c r="E171" s="9"/>
      <c r="F171" s="9"/>
      <c r="G171" s="9"/>
      <c r="H171" s="9"/>
      <c r="I171" s="9"/>
      <c r="J171" s="9"/>
      <c r="K171" s="9"/>
    </row>
    <row r="172" ht="15.75" customHeight="1">
      <c r="A172" s="6" t="str">
        <f t="shared" si="1"/>
        <v/>
      </c>
      <c r="B172" s="20"/>
      <c r="C172" s="9"/>
      <c r="D172" s="9"/>
      <c r="E172" s="9"/>
      <c r="F172" s="9"/>
      <c r="G172" s="9"/>
      <c r="H172" s="9"/>
      <c r="I172" s="9"/>
      <c r="J172" s="9"/>
      <c r="K172" s="9"/>
    </row>
    <row r="173" ht="15.75" customHeight="1">
      <c r="A173" s="6" t="str">
        <f t="shared" si="1"/>
        <v/>
      </c>
      <c r="B173" s="20"/>
      <c r="C173" s="9"/>
      <c r="D173" s="9"/>
      <c r="E173" s="9"/>
      <c r="F173" s="9"/>
      <c r="G173" s="9"/>
      <c r="H173" s="9"/>
      <c r="I173" s="9"/>
      <c r="J173" s="9"/>
      <c r="K173" s="9"/>
    </row>
    <row r="174" ht="15.75" customHeight="1">
      <c r="A174" s="6" t="str">
        <f t="shared" si="1"/>
        <v/>
      </c>
      <c r="B174" s="20"/>
      <c r="C174" s="9"/>
      <c r="D174" s="9"/>
      <c r="E174" s="9"/>
      <c r="F174" s="9"/>
      <c r="G174" s="9"/>
      <c r="H174" s="9"/>
      <c r="I174" s="9"/>
      <c r="J174" s="9"/>
      <c r="K174" s="9"/>
    </row>
    <row r="175" ht="15.75" customHeight="1">
      <c r="A175" s="6" t="str">
        <f t="shared" si="1"/>
        <v/>
      </c>
      <c r="B175" s="20"/>
      <c r="C175" s="9"/>
      <c r="D175" s="9"/>
      <c r="E175" s="9"/>
      <c r="F175" s="9"/>
      <c r="G175" s="9"/>
      <c r="H175" s="9"/>
      <c r="I175" s="9"/>
      <c r="J175" s="9"/>
      <c r="K175" s="9"/>
    </row>
    <row r="176" ht="15.75" customHeight="1">
      <c r="A176" s="6" t="str">
        <f t="shared" si="1"/>
        <v/>
      </c>
      <c r="B176" s="20"/>
      <c r="C176" s="9"/>
      <c r="D176" s="9"/>
      <c r="E176" s="9"/>
      <c r="F176" s="9"/>
      <c r="G176" s="9"/>
      <c r="H176" s="9"/>
      <c r="I176" s="9"/>
      <c r="J176" s="9"/>
      <c r="K176" s="9"/>
    </row>
    <row r="177" ht="15.75" customHeight="1">
      <c r="A177" s="6" t="str">
        <f t="shared" si="1"/>
        <v/>
      </c>
      <c r="B177" s="20"/>
      <c r="C177" s="9"/>
      <c r="D177" s="9"/>
      <c r="E177" s="9"/>
      <c r="F177" s="9"/>
      <c r="G177" s="9"/>
      <c r="H177" s="9"/>
      <c r="I177" s="9"/>
      <c r="J177" s="9"/>
      <c r="K177" s="9"/>
    </row>
    <row r="178" ht="15.75" customHeight="1">
      <c r="A178" s="6" t="str">
        <f t="shared" si="1"/>
        <v/>
      </c>
      <c r="B178" s="20"/>
      <c r="C178" s="9"/>
      <c r="D178" s="9"/>
      <c r="E178" s="9"/>
      <c r="F178" s="9"/>
      <c r="G178" s="9"/>
      <c r="H178" s="9"/>
      <c r="I178" s="9"/>
      <c r="J178" s="9"/>
      <c r="K178" s="9"/>
    </row>
    <row r="179" ht="15.75" customHeight="1">
      <c r="A179" s="6" t="str">
        <f t="shared" si="1"/>
        <v/>
      </c>
      <c r="B179" s="20"/>
      <c r="C179" s="9"/>
      <c r="D179" s="9"/>
      <c r="E179" s="9"/>
      <c r="F179" s="9"/>
      <c r="G179" s="9"/>
      <c r="H179" s="9"/>
      <c r="I179" s="9"/>
      <c r="J179" s="9"/>
      <c r="K179" s="9"/>
    </row>
    <row r="180" ht="15.75" customHeight="1">
      <c r="A180" s="6" t="str">
        <f t="shared" si="1"/>
        <v/>
      </c>
      <c r="B180" s="20"/>
      <c r="C180" s="9"/>
      <c r="D180" s="9"/>
      <c r="E180" s="9"/>
      <c r="F180" s="9"/>
      <c r="G180" s="9"/>
      <c r="H180" s="9"/>
      <c r="I180" s="9"/>
      <c r="J180" s="9"/>
      <c r="K180" s="9"/>
    </row>
    <row r="181" ht="15.75" customHeight="1">
      <c r="A181" s="6" t="str">
        <f t="shared" si="1"/>
        <v/>
      </c>
      <c r="B181" s="20"/>
      <c r="C181" s="9"/>
      <c r="D181" s="9"/>
      <c r="E181" s="9"/>
      <c r="F181" s="9"/>
      <c r="G181" s="9"/>
      <c r="H181" s="9"/>
      <c r="I181" s="9"/>
      <c r="J181" s="9"/>
      <c r="K181" s="9"/>
    </row>
    <row r="182" ht="15.75" customHeight="1">
      <c r="A182" s="6" t="str">
        <f t="shared" si="1"/>
        <v/>
      </c>
      <c r="B182" s="20"/>
      <c r="C182" s="9"/>
      <c r="D182" s="9"/>
      <c r="E182" s="9"/>
      <c r="F182" s="9"/>
      <c r="G182" s="9"/>
      <c r="H182" s="9"/>
      <c r="I182" s="9"/>
      <c r="J182" s="9"/>
      <c r="K182" s="9"/>
    </row>
    <row r="183" ht="15.75" customHeight="1">
      <c r="A183" s="6" t="str">
        <f t="shared" si="1"/>
        <v/>
      </c>
      <c r="B183" s="20"/>
      <c r="C183" s="9"/>
      <c r="D183" s="9"/>
      <c r="E183" s="9"/>
      <c r="F183" s="9"/>
      <c r="G183" s="9"/>
      <c r="H183" s="9"/>
      <c r="I183" s="9"/>
      <c r="J183" s="9"/>
      <c r="K183" s="9"/>
    </row>
    <row r="184" ht="15.75" customHeight="1">
      <c r="A184" s="6" t="str">
        <f t="shared" si="1"/>
        <v/>
      </c>
      <c r="B184" s="20"/>
      <c r="C184" s="9"/>
      <c r="D184" s="9"/>
      <c r="E184" s="9"/>
      <c r="F184" s="9"/>
      <c r="G184" s="9"/>
      <c r="H184" s="9"/>
      <c r="I184" s="9"/>
      <c r="J184" s="9"/>
      <c r="K184" s="9"/>
    </row>
    <row r="185" ht="15.75" customHeight="1">
      <c r="A185" s="6" t="str">
        <f t="shared" si="1"/>
        <v/>
      </c>
      <c r="B185" s="20"/>
      <c r="C185" s="9"/>
      <c r="D185" s="9"/>
      <c r="E185" s="9"/>
      <c r="F185" s="9"/>
      <c r="G185" s="9"/>
      <c r="H185" s="9"/>
      <c r="I185" s="9"/>
      <c r="J185" s="9"/>
      <c r="K185" s="9"/>
    </row>
    <row r="186" ht="15.75" customHeight="1">
      <c r="A186" s="6" t="str">
        <f t="shared" si="1"/>
        <v/>
      </c>
      <c r="B186" s="20"/>
      <c r="C186" s="9"/>
      <c r="D186" s="9"/>
      <c r="E186" s="9"/>
      <c r="F186" s="9"/>
      <c r="G186" s="9"/>
      <c r="H186" s="9"/>
      <c r="I186" s="9"/>
      <c r="J186" s="9"/>
      <c r="K186" s="9"/>
    </row>
    <row r="187" ht="15.75" customHeight="1">
      <c r="A187" s="6" t="str">
        <f t="shared" si="1"/>
        <v/>
      </c>
      <c r="B187" s="20"/>
      <c r="C187" s="9"/>
      <c r="D187" s="9"/>
      <c r="E187" s="9"/>
      <c r="F187" s="9"/>
      <c r="G187" s="9"/>
      <c r="H187" s="9"/>
      <c r="I187" s="9"/>
      <c r="J187" s="9"/>
      <c r="K187" s="9"/>
    </row>
    <row r="188" ht="15.75" customHeight="1">
      <c r="A188" s="6" t="str">
        <f t="shared" si="1"/>
        <v/>
      </c>
      <c r="B188" s="20"/>
      <c r="C188" s="9"/>
      <c r="D188" s="9"/>
      <c r="E188" s="9"/>
      <c r="F188" s="9"/>
      <c r="G188" s="9"/>
      <c r="H188" s="9"/>
      <c r="I188" s="9"/>
      <c r="J188" s="9"/>
      <c r="K188" s="9"/>
    </row>
    <row r="189" ht="15.75" customHeight="1">
      <c r="A189" s="6" t="str">
        <f t="shared" si="1"/>
        <v/>
      </c>
      <c r="B189" s="20"/>
      <c r="C189" s="9"/>
      <c r="D189" s="9"/>
      <c r="E189" s="9"/>
      <c r="F189" s="9"/>
      <c r="G189" s="9"/>
      <c r="H189" s="9"/>
      <c r="I189" s="9"/>
      <c r="J189" s="9"/>
      <c r="K189" s="9"/>
    </row>
    <row r="190" ht="15.75" customHeight="1">
      <c r="A190" s="6" t="str">
        <f t="shared" si="1"/>
        <v/>
      </c>
      <c r="B190" s="20"/>
      <c r="C190" s="9"/>
      <c r="D190" s="9"/>
      <c r="E190" s="9"/>
      <c r="F190" s="9"/>
      <c r="G190" s="9"/>
      <c r="H190" s="9"/>
      <c r="I190" s="9"/>
      <c r="J190" s="9"/>
      <c r="K190" s="9"/>
    </row>
    <row r="191" ht="15.75" customHeight="1">
      <c r="A191" s="6" t="str">
        <f t="shared" si="1"/>
        <v/>
      </c>
      <c r="B191" s="20"/>
      <c r="C191" s="9"/>
      <c r="D191" s="9"/>
      <c r="E191" s="9"/>
      <c r="F191" s="9"/>
      <c r="G191" s="9"/>
      <c r="H191" s="9"/>
      <c r="I191" s="9"/>
      <c r="J191" s="9"/>
      <c r="K191" s="9"/>
    </row>
    <row r="192" ht="15.75" customHeight="1">
      <c r="A192" s="6" t="str">
        <f t="shared" si="1"/>
        <v/>
      </c>
      <c r="B192" s="20"/>
      <c r="C192" s="9"/>
      <c r="D192" s="9"/>
      <c r="E192" s="9"/>
      <c r="F192" s="9"/>
      <c r="G192" s="9"/>
      <c r="H192" s="9"/>
      <c r="I192" s="9"/>
      <c r="J192" s="9"/>
      <c r="K192" s="9"/>
    </row>
    <row r="193" ht="15.75" customHeight="1">
      <c r="A193" s="6" t="str">
        <f t="shared" si="1"/>
        <v/>
      </c>
      <c r="B193" s="20"/>
      <c r="C193" s="9"/>
      <c r="D193" s="9"/>
      <c r="E193" s="9"/>
      <c r="F193" s="9"/>
      <c r="G193" s="9"/>
      <c r="H193" s="9"/>
      <c r="I193" s="9"/>
      <c r="J193" s="9"/>
      <c r="K193" s="9"/>
    </row>
    <row r="194" ht="15.75" customHeight="1">
      <c r="A194" s="6" t="str">
        <f t="shared" si="1"/>
        <v/>
      </c>
      <c r="B194" s="20"/>
      <c r="C194" s="9"/>
      <c r="D194" s="9"/>
      <c r="E194" s="9"/>
      <c r="F194" s="9"/>
      <c r="G194" s="9"/>
      <c r="H194" s="9"/>
      <c r="I194" s="9"/>
      <c r="J194" s="9"/>
      <c r="K194" s="9"/>
    </row>
    <row r="195" ht="15.75" customHeight="1">
      <c r="A195" s="6" t="str">
        <f t="shared" si="1"/>
        <v/>
      </c>
      <c r="B195" s="20"/>
      <c r="C195" s="9"/>
      <c r="D195" s="9"/>
      <c r="E195" s="9"/>
      <c r="F195" s="9"/>
      <c r="G195" s="9"/>
      <c r="H195" s="9"/>
      <c r="I195" s="9"/>
      <c r="J195" s="9"/>
      <c r="K195" s="9"/>
    </row>
    <row r="196" ht="15.75" customHeight="1">
      <c r="A196" s="6" t="str">
        <f t="shared" si="1"/>
        <v/>
      </c>
      <c r="B196" s="20"/>
      <c r="C196" s="9"/>
      <c r="D196" s="9"/>
      <c r="E196" s="9"/>
      <c r="F196" s="9"/>
      <c r="G196" s="9"/>
      <c r="H196" s="9"/>
      <c r="I196" s="9"/>
      <c r="J196" s="9"/>
      <c r="K196" s="9"/>
    </row>
    <row r="197" ht="15.75" customHeight="1">
      <c r="A197" s="6" t="str">
        <f t="shared" si="1"/>
        <v/>
      </c>
      <c r="B197" s="20"/>
      <c r="C197" s="9"/>
      <c r="D197" s="9"/>
      <c r="E197" s="9"/>
      <c r="F197" s="9"/>
      <c r="G197" s="9"/>
      <c r="H197" s="9"/>
      <c r="I197" s="9"/>
      <c r="J197" s="9"/>
      <c r="K197" s="9"/>
    </row>
    <row r="198" ht="15.75" customHeight="1">
      <c r="A198" s="6" t="str">
        <f t="shared" si="1"/>
        <v/>
      </c>
      <c r="B198" s="20"/>
      <c r="C198" s="9"/>
      <c r="D198" s="9"/>
      <c r="E198" s="9"/>
      <c r="F198" s="9"/>
      <c r="G198" s="9"/>
      <c r="H198" s="9"/>
      <c r="I198" s="9"/>
      <c r="J198" s="9"/>
      <c r="K198" s="9"/>
    </row>
    <row r="199" ht="15.75" customHeight="1">
      <c r="A199" s="6" t="str">
        <f t="shared" si="1"/>
        <v/>
      </c>
      <c r="B199" s="20"/>
      <c r="C199" s="9"/>
      <c r="D199" s="9"/>
      <c r="E199" s="9"/>
      <c r="F199" s="9"/>
      <c r="G199" s="9"/>
      <c r="H199" s="9"/>
      <c r="I199" s="9"/>
      <c r="J199" s="9"/>
      <c r="K199" s="9"/>
    </row>
    <row r="200" ht="15.75" customHeight="1">
      <c r="A200" s="6" t="str">
        <f t="shared" si="1"/>
        <v/>
      </c>
      <c r="B200" s="20"/>
      <c r="C200" s="9"/>
      <c r="D200" s="9"/>
      <c r="E200" s="9"/>
      <c r="F200" s="9"/>
      <c r="G200" s="9"/>
      <c r="H200" s="9"/>
      <c r="I200" s="9"/>
      <c r="J200" s="9"/>
      <c r="K200" s="9"/>
    </row>
    <row r="201" ht="15.75" customHeight="1">
      <c r="A201" s="6" t="str">
        <f t="shared" si="1"/>
        <v/>
      </c>
      <c r="B201" s="20"/>
      <c r="C201" s="9"/>
      <c r="D201" s="9"/>
      <c r="E201" s="9"/>
      <c r="F201" s="9"/>
      <c r="G201" s="9"/>
      <c r="H201" s="9"/>
      <c r="I201" s="9"/>
      <c r="J201" s="9"/>
      <c r="K201" s="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K22:K24"/>
    <mergeCell ref="K25:K26"/>
    <mergeCell ref="K27:K28"/>
    <mergeCell ref="K29:K30"/>
    <mergeCell ref="K2:K4"/>
    <mergeCell ref="K5:K7"/>
    <mergeCell ref="K8:K10"/>
    <mergeCell ref="K11:K13"/>
    <mergeCell ref="K14:K15"/>
    <mergeCell ref="K16:K17"/>
    <mergeCell ref="K18:K21"/>
  </mergeCells>
  <dataValidations>
    <dataValidation type="list" allowBlank="1" sqref="J2:J31 I32:J201">
      <formula1>"Completed,Cancelled,No-show,Rescheduled"</formula1>
    </dataValidation>
    <dataValidation type="list" allowBlank="1" sqref="E2:E201">
      <formula1>'Payment Summary'!$A$8:$A$27</formula1>
    </dataValidation>
    <dataValidation type="list" allowBlank="1" sqref="I2:I31">
      <formula1>"Yes,No,Checking"</formula1>
    </dataValidation>
  </dataValidations>
  <hyperlinks>
    <hyperlink r:id="rId1" ref="L5"/>
    <hyperlink r:id="rId2" ref="H9"/>
    <hyperlink r:id="rId3" ref="H10"/>
    <hyperlink r:id="rId4" ref="L10"/>
    <hyperlink r:id="rId5" ref="H11"/>
    <hyperlink r:id="rId6" ref="H12"/>
    <hyperlink r:id="rId7" ref="H13"/>
    <hyperlink r:id="rId8" ref="H14"/>
    <hyperlink r:id="rId9" ref="H16"/>
    <hyperlink r:id="rId10" ref="H17"/>
    <hyperlink r:id="rId11" ref="H18"/>
    <hyperlink r:id="rId12" ref="H19"/>
    <hyperlink r:id="rId13" ref="H20"/>
    <hyperlink r:id="rId14" ref="H21"/>
    <hyperlink r:id="rId15" ref="H22"/>
    <hyperlink r:id="rId16" ref="H23"/>
    <hyperlink r:id="rId17" ref="H24"/>
    <hyperlink r:id="rId18" ref="H25"/>
    <hyperlink r:id="rId19" ref="H26"/>
    <hyperlink r:id="rId20" ref="H27"/>
    <hyperlink r:id="rId21" ref="H28"/>
    <hyperlink r:id="rId22" ref="H29"/>
    <hyperlink r:id="rId23" ref="H30"/>
  </hyperlinks>
  <printOptions/>
  <pageMargins bottom="1.0" footer="0.0" header="0.0" left="0.75" right="0.75" top="1.0"/>
  <pageSetup paperSize="9" orientation="portrait"/>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4.57"/>
    <col customWidth="1" min="3" max="3" width="17.0"/>
    <col customWidth="1" min="4" max="4" width="13.43"/>
    <col customWidth="1" min="5" max="5" width="10.0"/>
    <col customWidth="1" min="6" max="6" width="34.0"/>
    <col customWidth="1" min="7" max="28" width="8.71"/>
  </cols>
  <sheetData>
    <row r="1">
      <c r="A1" s="21" t="s">
        <v>99</v>
      </c>
    </row>
    <row r="2">
      <c r="A2" s="22" t="s">
        <v>100</v>
      </c>
    </row>
    <row r="4">
      <c r="A4" s="23" t="s">
        <v>101</v>
      </c>
      <c r="B4" s="24"/>
      <c r="C4" s="25">
        <v>46204.0</v>
      </c>
      <c r="D4" s="24"/>
    </row>
    <row r="5">
      <c r="A5" s="23" t="s">
        <v>102</v>
      </c>
      <c r="B5" s="24"/>
      <c r="C5" s="25">
        <v>46234.0</v>
      </c>
      <c r="D5" s="24"/>
    </row>
    <row r="7">
      <c r="A7" s="3" t="s">
        <v>10</v>
      </c>
      <c r="B7" s="4" t="s">
        <v>103</v>
      </c>
      <c r="C7" s="3" t="s">
        <v>104</v>
      </c>
      <c r="D7" s="4" t="s">
        <v>8</v>
      </c>
      <c r="E7" s="3" t="s">
        <v>105</v>
      </c>
      <c r="F7" s="3" t="s">
        <v>106</v>
      </c>
    </row>
    <row r="8">
      <c r="A8" s="26" t="s">
        <v>19</v>
      </c>
      <c r="B8" s="11" t="s">
        <v>107</v>
      </c>
      <c r="C8" s="11">
        <v>9.0</v>
      </c>
      <c r="D8" s="11">
        <f>C8*1.5</f>
        <v>13.5</v>
      </c>
      <c r="E8" s="8" t="s">
        <v>22</v>
      </c>
      <c r="F8" s="10" t="s">
        <v>108</v>
      </c>
    </row>
    <row r="9">
      <c r="A9" s="26" t="s">
        <v>19</v>
      </c>
      <c r="B9" s="27" t="s">
        <v>109</v>
      </c>
      <c r="C9" s="27">
        <v>7.0</v>
      </c>
      <c r="D9" s="11">
        <f>sum('Class Log'!C11:C17)</f>
        <v>12.5</v>
      </c>
      <c r="E9" s="28" t="s">
        <v>22</v>
      </c>
      <c r="F9" s="13"/>
    </row>
    <row r="10">
      <c r="A10" s="26" t="s">
        <v>19</v>
      </c>
      <c r="B10" s="11" t="s">
        <v>110</v>
      </c>
      <c r="C10" s="11">
        <f>count('Class Log'!B18:B32)</f>
        <v>15</v>
      </c>
      <c r="D10" s="6">
        <f>sum('Class Log'!C18:C32)</f>
        <v>29</v>
      </c>
      <c r="E10" s="8" t="s">
        <v>111</v>
      </c>
      <c r="F10" s="8" t="s">
        <v>112</v>
      </c>
    </row>
    <row r="11">
      <c r="A11" s="29"/>
      <c r="B11" s="30"/>
      <c r="C11" s="30" t="str">
        <f>IF(A11="","",COUNTIFS('Class Log'!$E$2:$E$201,A11,'Class Log'!$J$2:$J$201,"Completed",'Class Log'!$B$2:$B$201,"&gt;="&amp;$C$4,'Class Log'!$B$2:$B$201,"&lt;="&amp;$C$5))</f>
        <v/>
      </c>
      <c r="D11" s="30"/>
      <c r="E11" s="31"/>
      <c r="F11" s="31"/>
    </row>
    <row r="12">
      <c r="A12" s="29"/>
      <c r="B12" s="6"/>
      <c r="C12" s="6" t="str">
        <f>IF(A12="","",COUNTIFS('Class Log'!$E$2:$E$201,A12,'Class Log'!$J$2:$J$201,"Completed",'Class Log'!$B$2:$B$201,"&gt;="&amp;$C$4,'Class Log'!$B$2:$B$201,"&lt;="&amp;$C$5))</f>
        <v/>
      </c>
      <c r="D12" s="6"/>
      <c r="E12" s="9"/>
      <c r="F12" s="9"/>
    </row>
    <row r="13">
      <c r="A13" s="29"/>
      <c r="B13" s="30"/>
      <c r="C13" s="30" t="str">
        <f>IF(A13="","",COUNTIFS('Class Log'!$E$2:$E$201,A13,'Class Log'!$J$2:$J$201,"Completed",'Class Log'!$B$2:$B$201,"&gt;="&amp;$C$4,'Class Log'!$B$2:$B$201,"&lt;="&amp;$C$5))</f>
        <v/>
      </c>
      <c r="D13" s="30"/>
      <c r="E13" s="31"/>
      <c r="F13" s="31"/>
    </row>
    <row r="14">
      <c r="A14" s="29"/>
      <c r="B14" s="6"/>
      <c r="C14" s="6" t="str">
        <f>IF(A14="","",COUNTIFS('Class Log'!$E$2:$E$201,A14,'Class Log'!$J$2:$J$201,"Completed",'Class Log'!$B$2:$B$201,"&gt;="&amp;$C$4,'Class Log'!$B$2:$B$201,"&lt;="&amp;$C$5))</f>
        <v/>
      </c>
      <c r="D14" s="6"/>
      <c r="E14" s="9"/>
      <c r="F14" s="9"/>
    </row>
    <row r="15">
      <c r="A15" s="29"/>
      <c r="B15" s="30"/>
      <c r="C15" s="30" t="str">
        <f>IF(A15="","",COUNTIFS('Class Log'!$E$2:$E$201,A15,'Class Log'!$J$2:$J$201,"Completed",'Class Log'!$B$2:$B$201,"&gt;="&amp;$C$4,'Class Log'!$B$2:$B$201,"&lt;="&amp;$C$5))</f>
        <v/>
      </c>
      <c r="D15" s="30"/>
      <c r="E15" s="31"/>
      <c r="F15" s="31"/>
    </row>
    <row r="16">
      <c r="A16" s="29"/>
      <c r="B16" s="6"/>
      <c r="C16" s="6" t="str">
        <f>IF(A16="","",COUNTIFS('Class Log'!$E$2:$E$201,A16,'Class Log'!$J$2:$J$201,"Completed",'Class Log'!$B$2:$B$201,"&gt;="&amp;$C$4,'Class Log'!$B$2:$B$201,"&lt;="&amp;$C$5))</f>
        <v/>
      </c>
      <c r="D16" s="6"/>
      <c r="E16" s="9"/>
      <c r="F16" s="9"/>
    </row>
    <row r="17">
      <c r="A17" s="29"/>
      <c r="B17" s="30"/>
      <c r="C17" s="30" t="str">
        <f>IF(A17="","",COUNTIFS('Class Log'!$E$2:$E$201,A17,'Class Log'!$J$2:$J$201,"Completed",'Class Log'!$B$2:$B$201,"&gt;="&amp;$C$4,'Class Log'!$B$2:$B$201,"&lt;="&amp;$C$5))</f>
        <v/>
      </c>
      <c r="D17" s="30"/>
      <c r="E17" s="31"/>
      <c r="F17" s="31"/>
    </row>
    <row r="18">
      <c r="A18" s="29"/>
      <c r="B18" s="6"/>
      <c r="C18" s="6" t="str">
        <f>IF(A18="","",COUNTIFS('Class Log'!$E$2:$E$201,A18,'Class Log'!$J$2:$J$201,"Completed",'Class Log'!$B$2:$B$201,"&gt;="&amp;$C$4,'Class Log'!$B$2:$B$201,"&lt;="&amp;$C$5))</f>
        <v/>
      </c>
      <c r="D18" s="6"/>
      <c r="E18" s="9"/>
      <c r="F18" s="9"/>
    </row>
    <row r="19">
      <c r="A19" s="29"/>
      <c r="B19" s="30"/>
      <c r="C19" s="30" t="str">
        <f>IF(A19="","",COUNTIFS('Class Log'!$E$2:$E$201,A19,'Class Log'!$J$2:$J$201,"Completed",'Class Log'!$B$2:$B$201,"&gt;="&amp;$C$4,'Class Log'!$B$2:$B$201,"&lt;="&amp;$C$5))</f>
        <v/>
      </c>
      <c r="D19" s="30"/>
      <c r="E19" s="31"/>
      <c r="F19" s="31"/>
    </row>
    <row r="20">
      <c r="A20" s="29"/>
      <c r="B20" s="6"/>
      <c r="C20" s="6" t="str">
        <f>IF(A20="","",COUNTIFS('Class Log'!$E$2:$E$201,A20,'Class Log'!$J$2:$J$201,"Completed",'Class Log'!$B$2:$B$201,"&gt;="&amp;$C$4,'Class Log'!$B$2:$B$201,"&lt;="&amp;$C$5))</f>
        <v/>
      </c>
      <c r="D20" s="6"/>
      <c r="E20" s="9"/>
      <c r="F20" s="9"/>
    </row>
    <row r="21" ht="15.75" customHeight="1">
      <c r="A21" s="29"/>
      <c r="B21" s="30"/>
      <c r="C21" s="30" t="str">
        <f>IF(A21="","",COUNTIFS('Class Log'!$E$2:$E$201,A21,'Class Log'!$J$2:$J$201,"Completed",'Class Log'!$B$2:$B$201,"&gt;="&amp;$C$4,'Class Log'!$B$2:$B$201,"&lt;="&amp;$C$5))</f>
        <v/>
      </c>
      <c r="D21" s="30"/>
      <c r="E21" s="31"/>
      <c r="F21" s="31"/>
    </row>
    <row r="22" ht="15.75" customHeight="1">
      <c r="A22" s="29"/>
      <c r="B22" s="6"/>
      <c r="C22" s="6" t="str">
        <f>IF(A22="","",COUNTIFS('Class Log'!$E$2:$E$201,A22,'Class Log'!$J$2:$J$201,"Completed",'Class Log'!$B$2:$B$201,"&gt;="&amp;$C$4,'Class Log'!$B$2:$B$201,"&lt;="&amp;$C$5))</f>
        <v/>
      </c>
      <c r="D22" s="6"/>
      <c r="E22" s="9"/>
      <c r="F22" s="9"/>
    </row>
    <row r="23" ht="15.75" customHeight="1">
      <c r="A23" s="29"/>
      <c r="B23" s="30"/>
      <c r="C23" s="30" t="str">
        <f>IF(A23="","",COUNTIFS('Class Log'!$E$2:$E$201,A23,'Class Log'!$J$2:$J$201,"Completed",'Class Log'!$B$2:$B$201,"&gt;="&amp;$C$4,'Class Log'!$B$2:$B$201,"&lt;="&amp;$C$5))</f>
        <v/>
      </c>
      <c r="D23" s="30"/>
      <c r="E23" s="31"/>
      <c r="F23" s="31"/>
    </row>
    <row r="24" ht="15.75" customHeight="1">
      <c r="A24" s="29"/>
      <c r="B24" s="6"/>
      <c r="C24" s="6" t="str">
        <f>IF(A24="","",COUNTIFS('Class Log'!$E$2:$E$201,A24,'Class Log'!$J$2:$J$201,"Completed",'Class Log'!$B$2:$B$201,"&gt;="&amp;$C$4,'Class Log'!$B$2:$B$201,"&lt;="&amp;$C$5))</f>
        <v/>
      </c>
      <c r="D24" s="6"/>
      <c r="E24" s="9"/>
      <c r="F24" s="9"/>
    </row>
    <row r="25" ht="15.75" customHeight="1">
      <c r="A25" s="29"/>
      <c r="B25" s="30"/>
      <c r="C25" s="30" t="str">
        <f>IF(A25="","",COUNTIFS('Class Log'!$E$2:$E$201,A25,'Class Log'!$J$2:$J$201,"Completed",'Class Log'!$B$2:$B$201,"&gt;="&amp;$C$4,'Class Log'!$B$2:$B$201,"&lt;="&amp;$C$5))</f>
        <v/>
      </c>
      <c r="D25" s="30"/>
      <c r="E25" s="31"/>
      <c r="F25" s="31"/>
    </row>
    <row r="26" ht="15.75" customHeight="1">
      <c r="A26" s="29"/>
      <c r="B26" s="6"/>
      <c r="C26" s="6" t="str">
        <f>IF(A26="","",COUNTIFS('Class Log'!$E$2:$E$201,A26,'Class Log'!$J$2:$J$201,"Completed",'Class Log'!$B$2:$B$201,"&gt;="&amp;$C$4,'Class Log'!$B$2:$B$201,"&lt;="&amp;$C$5))</f>
        <v/>
      </c>
      <c r="D26" s="6"/>
      <c r="E26" s="9"/>
      <c r="F26" s="9"/>
    </row>
    <row r="27" ht="15.75" customHeight="1">
      <c r="A27" s="29"/>
      <c r="B27" s="30"/>
      <c r="C27" s="30" t="str">
        <f>IF(A27="","",COUNTIFS('Class Log'!$E$2:$E$201,A27,'Class Log'!$J$2:$J$201,"Completed",'Class Log'!$B$2:$B$201,"&gt;="&amp;$C$4,'Class Log'!$B$2:$B$201,"&lt;="&amp;$C$5))</f>
        <v/>
      </c>
      <c r="D27" s="30"/>
      <c r="E27" s="31"/>
      <c r="F27" s="31"/>
    </row>
    <row r="28" ht="15.75" customHeight="1">
      <c r="A28" s="32" t="s">
        <v>113</v>
      </c>
      <c r="B28" s="32"/>
      <c r="C28" s="32">
        <f>SUM(C8:C27)</f>
        <v>31</v>
      </c>
      <c r="D28" s="32"/>
      <c r="E28" s="32"/>
      <c r="F28" s="3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8:F9"/>
  </mergeCells>
  <dataValidations>
    <dataValidation type="list" allowBlank="1" sqref="E8:E27">
      <formula1>"Yes,No"</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2026-07-21T15:21:11Z</dcterms:created>
  <dc:creator>openpyxl</dc:creator>
</cp:coreProperties>
</file>

<file path=docProps/custom.xml><?xml version="1.0" encoding="utf-8"?>
<Properties xmlns="http://schemas.openxmlformats.org/officeDocument/2006/custom-properties" xmlns:vt="http://schemas.openxmlformats.org/officeDocument/2006/docPropsVTypes"/>
</file>